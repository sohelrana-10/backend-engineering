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ckend-engineering\"/>
    </mc:Choice>
  </mc:AlternateContent>
  <xr:revisionPtr revIDLastSave="0" documentId="13_ncr:1_{C4896FA5-B722-4A44-8729-43A77B48BC36}" xr6:coauthVersionLast="47" xr6:coauthVersionMax="47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Dashboard" sheetId="1" r:id="rId1"/>
    <sheet name="Roadmap" sheetId="2" r:id="rId2"/>
    <sheet name="Tasks" sheetId="3" r:id="rId3"/>
  </sheets>
  <definedNames>
    <definedName name="_xlnm._FilterDatabase" localSheetId="2" hidden="1">Tasks!$B$4:$G$98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" i="2" l="1"/>
  <c r="P5" i="2" s="1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J21" i="2"/>
  <c r="O20" i="2"/>
  <c r="P20" i="2" s="1"/>
  <c r="L20" i="2"/>
  <c r="K20" i="2"/>
  <c r="P19" i="2"/>
  <c r="O19" i="2"/>
  <c r="N19" i="2"/>
  <c r="L19" i="2"/>
  <c r="K19" i="2"/>
  <c r="O18" i="2"/>
  <c r="P18" i="2" s="1"/>
  <c r="L18" i="2"/>
  <c r="K18" i="2"/>
  <c r="P17" i="2"/>
  <c r="O17" i="2"/>
  <c r="N17" i="2"/>
  <c r="L17" i="2"/>
  <c r="K17" i="2"/>
  <c r="O16" i="2"/>
  <c r="P16" i="2" s="1"/>
  <c r="L16" i="2"/>
  <c r="N16" i="2" s="1"/>
  <c r="K16" i="2"/>
  <c r="O15" i="2"/>
  <c r="P15" i="2" s="1"/>
  <c r="L15" i="2"/>
  <c r="K15" i="2"/>
  <c r="D18" i="1" s="1"/>
  <c r="O14" i="2"/>
  <c r="P14" i="2" s="1"/>
  <c r="L14" i="2"/>
  <c r="N14" i="2" s="1"/>
  <c r="K14" i="2"/>
  <c r="O13" i="2"/>
  <c r="P13" i="2" s="1"/>
  <c r="L13" i="2"/>
  <c r="K13" i="2"/>
  <c r="O12" i="2"/>
  <c r="P12" i="2" s="1"/>
  <c r="L12" i="2"/>
  <c r="N12" i="2" s="1"/>
  <c r="K12" i="2"/>
  <c r="O11" i="2"/>
  <c r="P11" i="2" s="1"/>
  <c r="L11" i="2"/>
  <c r="K11" i="2"/>
  <c r="O10" i="2"/>
  <c r="P10" i="2" s="1"/>
  <c r="L10" i="2"/>
  <c r="N10" i="2" s="1"/>
  <c r="K10" i="2"/>
  <c r="O9" i="2"/>
  <c r="P9" i="2" s="1"/>
  <c r="L9" i="2"/>
  <c r="K9" i="2"/>
  <c r="O8" i="2"/>
  <c r="P8" i="2" s="1"/>
  <c r="L8" i="2"/>
  <c r="K8" i="2"/>
  <c r="O7" i="2"/>
  <c r="P7" i="2" s="1"/>
  <c r="L7" i="2"/>
  <c r="K7" i="2"/>
  <c r="O6" i="2"/>
  <c r="P6" i="2" s="1"/>
  <c r="L6" i="2"/>
  <c r="K6" i="2"/>
  <c r="L5" i="2"/>
  <c r="K5" i="2"/>
  <c r="C19" i="1"/>
  <c r="C18" i="1"/>
  <c r="C17" i="1"/>
  <c r="C16" i="1"/>
  <c r="C11" i="1"/>
  <c r="C12" i="1" s="1"/>
  <c r="C6" i="1"/>
  <c r="D16" i="1" l="1"/>
  <c r="D17" i="1"/>
  <c r="L21" i="2"/>
  <c r="E19" i="1"/>
  <c r="N6" i="2"/>
  <c r="M7" i="2"/>
  <c r="M11" i="2"/>
  <c r="E18" i="1"/>
  <c r="F18" i="1" s="1"/>
  <c r="N8" i="2"/>
  <c r="M9" i="2"/>
  <c r="M13" i="2"/>
  <c r="M17" i="2"/>
  <c r="M18" i="2"/>
  <c r="D19" i="1"/>
  <c r="M19" i="2"/>
  <c r="N20" i="2"/>
  <c r="N18" i="2"/>
  <c r="N5" i="2"/>
  <c r="C8" i="1"/>
  <c r="N7" i="2"/>
  <c r="M8" i="2"/>
  <c r="N9" i="2"/>
  <c r="M10" i="2"/>
  <c r="N11" i="2"/>
  <c r="M12" i="2"/>
  <c r="N13" i="2"/>
  <c r="M14" i="2"/>
  <c r="N15" i="2"/>
  <c r="M16" i="2"/>
  <c r="E17" i="1"/>
  <c r="F17" i="1" s="1"/>
  <c r="M15" i="2"/>
  <c r="C9" i="1"/>
  <c r="M6" i="2"/>
  <c r="M20" i="2"/>
  <c r="K21" i="2"/>
  <c r="E16" i="1"/>
  <c r="F16" i="1" s="1"/>
  <c r="M5" i="2"/>
  <c r="M21" i="2" l="1"/>
  <c r="F19" i="1"/>
  <c r="C10" i="1"/>
  <c r="C7" i="1"/>
</calcChain>
</file>

<file path=xl/sharedStrings.xml><?xml version="1.0" encoding="utf-8"?>
<sst xmlns="http://schemas.openxmlformats.org/spreadsheetml/2006/main" count="367" uniqueCount="210">
  <si>
    <t>Backend Engineering Roadmap: Progress Dashboard</t>
  </si>
  <si>
    <t>Project start date</t>
  </si>
  <si>
    <t>Topics included</t>
  </si>
  <si>
    <t>Topics completed</t>
  </si>
  <si>
    <t>Total tasks (included topics)</t>
  </si>
  <si>
    <t>Tasks done</t>
  </si>
  <si>
    <t>Overall progress</t>
  </si>
  <si>
    <t>Total planned weeks</t>
  </si>
  <si>
    <t>Projected finish date</t>
  </si>
  <si>
    <t>Progress by phase</t>
  </si>
  <si>
    <t>Phase</t>
  </si>
  <si>
    <t>Total tasks</t>
  </si>
  <si>
    <t>% Done</t>
  </si>
  <si>
    <t>1 Foundations</t>
  </si>
  <si>
    <t>2 Core API</t>
  </si>
  <si>
    <t>3 Security &amp; Quality</t>
  </si>
  <si>
    <t>4 Production</t>
  </si>
  <si>
    <t>How to use</t>
  </si>
  <si>
    <t>1. Roadmap sheet: set Include? to Yes/No for each topic. Optional topics (Redis/Celery, CI/CD) start as No; switch to Yes to add them.</t>
  </si>
  <si>
    <t>2. Change Est. weeks if a topic takes you longer or shorter; dates shift automatically and skip excluded topics.</t>
  </si>
  <si>
    <t>3. Tasks sheet: update Status as you work. Roadmap % Done, Status and this dashboard update by themselves.</t>
  </si>
  <si>
    <t>4. Add your own tasks at the bottom of the Tasks sheet using the topic's Step number.</t>
  </si>
  <si>
    <t>5. Finish each topic's practice project before moving on; the Capstone (Step 16) ties everything together.</t>
  </si>
  <si>
    <t>Backend Engineering Roadmap (Python / FastAPI)</t>
  </si>
  <si>
    <t>Step</t>
  </si>
  <si>
    <t>Topic</t>
  </si>
  <si>
    <t>What to learn</t>
  </si>
  <si>
    <t>Practice project / deliverable</t>
  </si>
  <si>
    <t>Source</t>
  </si>
  <si>
    <t>Level</t>
  </si>
  <si>
    <t>Include?</t>
  </si>
  <si>
    <t>Est. weeks</t>
  </si>
  <si>
    <t>Done tasks</t>
  </si>
  <si>
    <t>Status</t>
  </si>
  <si>
    <t>Start date</t>
  </si>
  <si>
    <t>Target end</t>
  </si>
  <si>
    <t>Suggested resources</t>
  </si>
  <si>
    <t>Notes</t>
  </si>
  <si>
    <t>Python</t>
  </si>
  <si>
    <t>Functions, OOP, modules, exception handling</t>
  </si>
  <si>
    <t>CLI to-do app with file/JSON persistence</t>
  </si>
  <si>
    <t>Original</t>
  </si>
  <si>
    <t>Core</t>
  </si>
  <si>
    <t>Yes</t>
  </si>
  <si>
    <t>Python docs tutorial; Real Python</t>
  </si>
  <si>
    <t>Git &amp; Command Line</t>
  </si>
  <si>
    <t>Terminal navigation, commits, branches, GitHub</t>
  </si>
  <si>
    <t>Push your Python project to GitHub with a README</t>
  </si>
  <si>
    <t>Added</t>
  </si>
  <si>
    <t>Pro Git book (free); GitHub Docs</t>
  </si>
  <si>
    <t>SQL</t>
  </si>
  <si>
    <t>SELECT, INSERT, UPDATE, DELETE, JOIN</t>
  </si>
  <si>
    <t>Design and query a small store/library database</t>
  </si>
  <si>
    <t>SQLBolt; Mode SQL tutorial</t>
  </si>
  <si>
    <t>Database</t>
  </si>
  <si>
    <t>SQLite, relationships, primary and foreign keys, indexes</t>
  </si>
  <si>
    <t>Normalized schema with FKs and indexes, used from Python</t>
  </si>
  <si>
    <t>SQLite docs; Python sqlite3 docs</t>
  </si>
  <si>
    <t>HTTP</t>
  </si>
  <si>
    <t>Requests, responses, HTTP methods, status codes</t>
  </si>
  <si>
    <t>Call 3 public APIs with curl, Postman and httpx</t>
  </si>
  <si>
    <t>MDN HTTP guide; httpx docs</t>
  </si>
  <si>
    <t>FastAPI</t>
  </si>
  <si>
    <t>Routes, endpoints, request handling, response models</t>
  </si>
  <si>
    <t>Notes/Todo REST API with full CRUD</t>
  </si>
  <si>
    <t>FastAPI official tutorial</t>
  </si>
  <si>
    <t>Pydantic</t>
  </si>
  <si>
    <t>Data validation and serialization</t>
  </si>
  <si>
    <t>Create/Update/Read schemas for your API</t>
  </si>
  <si>
    <t>Pydantic docs</t>
  </si>
  <si>
    <t>ORM</t>
  </si>
  <si>
    <t>SQLAlchemy and database integration</t>
  </si>
  <si>
    <t>Replace in-memory storage with SQLAlchemy models</t>
  </si>
  <si>
    <t>SQLAlchemy 2.0 tutorial</t>
  </si>
  <si>
    <t>PostgreSQL &amp; Migrations</t>
  </si>
  <si>
    <t>Postgres, Alembic migrations, pagination, query tuning</t>
  </si>
  <si>
    <t>Move API to Postgres with Alembic migrations</t>
  </si>
  <si>
    <t>Recommended</t>
  </si>
  <si>
    <t>PostgreSQL tutorial; Alembic docs</t>
  </si>
  <si>
    <t>Authentication</t>
  </si>
  <si>
    <t>Password hashing, JWT, OAuth2</t>
  </si>
  <si>
    <t>Register/login with JWT and protected routes</t>
  </si>
  <si>
    <t>FastAPI security tutorial; OWASP cheat sheets</t>
  </si>
  <si>
    <t>Testing</t>
  </si>
  <si>
    <t>Pytest and API testing</t>
  </si>
  <si>
    <t>Test suite with 80%+ coverage</t>
  </si>
  <si>
    <t>Pytest docs; FastAPI testing guide</t>
  </si>
  <si>
    <t>API Design, Logging &amp; Security</t>
  </si>
  <si>
    <t>REST conventions, logging, error format, OWASP basics</t>
  </si>
  <si>
    <t>Harden your API: logging, error format, CORS, limits</t>
  </si>
  <si>
    <t>OWASP API Top 10; Microsoft REST guidelines</t>
  </si>
  <si>
    <t>Caching &amp; Background Tasks</t>
  </si>
  <si>
    <t>Redis, background jobs, queues</t>
  </si>
  <si>
    <t>Cache a slow endpoint; send email via background job</t>
  </si>
  <si>
    <t>Optional</t>
  </si>
  <si>
    <t>No</t>
  </si>
  <si>
    <t>Redis University; Celery/ARQ docs</t>
  </si>
  <si>
    <t>Deployment</t>
  </si>
  <si>
    <t>Docker, Linux basics, and cloud deployment</t>
  </si>
  <si>
    <t>Live deployed API with HTTPS</t>
  </si>
  <si>
    <t>Docker docs; DigitalOcean/Render/Railway guides</t>
  </si>
  <si>
    <t>CI/CD</t>
  </si>
  <si>
    <t>GitHub Actions: test, lint, build, deploy</t>
  </si>
  <si>
    <t>Pipeline that tests and deploys on every push to main</t>
  </si>
  <si>
    <t>GitHub Actions docs</t>
  </si>
  <si>
    <t>Capstone Project</t>
  </si>
  <si>
    <t>Build and ship a complete backend end to end</t>
  </si>
  <si>
    <t>Portfolio-ready API (e.g. blog, e-commerce, task manager)</t>
  </si>
  <si>
    <t>Your own repo + README</t>
  </si>
  <si>
    <t>Total (included topics)</t>
  </si>
  <si>
    <t>Task Checklist</t>
  </si>
  <si>
    <t>Task</t>
  </si>
  <si>
    <t>Date done</t>
  </si>
  <si>
    <t>Write functions with default/keyword args, *args and **kwargs</t>
  </si>
  <si>
    <t>Not Started</t>
  </si>
  <si>
    <t>Practice lists, dicts, sets and comprehensions</t>
  </si>
  <si>
    <t>Build classes with inheritance and dunder methods</t>
  </si>
  <si>
    <t>Organize code into modules/packages; use venv and pip</t>
  </si>
  <si>
    <t>Handle errors with try/except and custom exceptions</t>
  </si>
  <si>
    <t>Read and write files and JSON</t>
  </si>
  <si>
    <t>Finish the CLI to-do app project</t>
  </si>
  <si>
    <t>Navigate terminal: cd, ls, grep, pipes</t>
  </si>
  <si>
    <t>Init a repo; stage, commit, view history</t>
  </si>
  <si>
    <t>Create and merge branches; resolve a merge conflict</t>
  </si>
  <si>
    <t>Use .gitignore; push project to GitHub with README</t>
  </si>
  <si>
    <t>SELECT with WHERE, ORDER BY, LIMIT</t>
  </si>
  <si>
    <t>INSERT, UPDATE, DELETE safely (with WHERE)</t>
  </si>
  <si>
    <t>INNER and LEFT JOINs across 3 tables</t>
  </si>
  <si>
    <t>GROUP BY, HAVING and aggregate functions</t>
  </si>
  <si>
    <t>Write subqueries</t>
  </si>
  <si>
    <t>Solve 20 practice problems</t>
  </si>
  <si>
    <t>Create tables with data types and constraints</t>
  </si>
  <si>
    <t>Define primary/foreign keys; model 1-1, 1-N, M-N</t>
  </si>
  <si>
    <t>Normalize a schema to 3NF</t>
  </si>
  <si>
    <t>Add indexes; compare with EXPLAIN QUERY PLAN</t>
  </si>
  <si>
    <t>Use the sqlite3 module from Python</t>
  </si>
  <si>
    <t>Use transactions (commit/rollback)</t>
  </si>
  <si>
    <t>Learn request/response structure, headers and body</t>
  </si>
  <si>
    <t>Understand methods and idempotency (GET/POST/PUT/PATCH/DELETE)</t>
  </si>
  <si>
    <t>Memorize status code families (2xx/3xx/4xx/5xx)</t>
  </si>
  <si>
    <t>Call APIs with curl and Postman</t>
  </si>
  <si>
    <t>Use requests or httpx in Python</t>
  </si>
  <si>
    <t>Understand cookies, CORS and HTTPS basics</t>
  </si>
  <si>
    <t>Install FastAPI + uvicorn; explore /docs</t>
  </si>
  <si>
    <t>Path, query and body parameters</t>
  </si>
  <si>
    <t>Build CRUD endpoints (in-memory first)</t>
  </si>
  <si>
    <t>Use response_model and status codes</t>
  </si>
  <si>
    <t>Raise HTTPException; custom error handling</t>
  </si>
  <si>
    <t>Dependency injection with Depends</t>
  </si>
  <si>
    <t>Split routes with APIRouter; project structure</t>
  </si>
  <si>
    <t>Understand async vs sync endpoints</t>
  </si>
  <si>
    <t>Define BaseModel with type hints</t>
  </si>
  <si>
    <t>Add Field constraints and validators</t>
  </si>
  <si>
    <t>Separate Create, Update and Read schemas</t>
  </si>
  <si>
    <t>Nested models and serialization (model_dump)</t>
  </si>
  <si>
    <t>Manage settings with pydantic-settings and .env</t>
  </si>
  <si>
    <t>Define SQLAlchemy models</t>
  </si>
  <si>
    <t>Set up engine, session and get_db dependency</t>
  </si>
  <si>
    <t>Implement CRUD with ORM queries</t>
  </si>
  <si>
    <t>Model relationships (relationship, back_populates)</t>
  </si>
  <si>
    <t>Avoid N+1 queries (joinedload/selectinload)</t>
  </si>
  <si>
    <t>Wire ORM into FastAPI endpoints</t>
  </si>
  <si>
    <t>Run Postgres (Docker) and learn psql basics</t>
  </si>
  <si>
    <t>Switch SQLAlchemy to Postgres</t>
  </si>
  <si>
    <t>Create and apply Alembic migrations (up/down)</t>
  </si>
  <si>
    <t>Add pagination and filtering to list endpoints</t>
  </si>
  <si>
    <t>Use EXPLAIN ANALYZE and add an index</t>
  </si>
  <si>
    <t>Hash passwords with bcrypt or argon2</t>
  </si>
  <si>
    <t>Build register and login endpoints</t>
  </si>
  <si>
    <t>Issue and verify JWT access tokens</t>
  </si>
  <si>
    <t>Protect routes with a dependency</t>
  </si>
  <si>
    <t>Implement OAuth2 password flow in FastAPI</t>
  </si>
  <si>
    <t>Add role-based access (admin/user)</t>
  </si>
  <si>
    <t>Learn refresh tokens and social login (concept)</t>
  </si>
  <si>
    <t>Pytest basics: fixtures, parametrize</t>
  </si>
  <si>
    <t>Test endpoints with TestClient</t>
  </si>
  <si>
    <t>Use a test DB via dependency_overrides</t>
  </si>
  <si>
    <t>Test auth flows (login, protected routes)</t>
  </si>
  <si>
    <t>Mock external calls</t>
  </si>
  <si>
    <t>Generate coverage report and reach 80%</t>
  </si>
  <si>
    <t>Apply REST naming, versioning, pagination conventions</t>
  </si>
  <si>
    <t>Add structured logging</t>
  </si>
  <si>
    <t>Keep secrets in env vars; never commit them</t>
  </si>
  <si>
    <t>Configure CORS; add rate limiting and input limits</t>
  </si>
  <si>
    <t>Review OWASP API Top 10 against your app</t>
  </si>
  <si>
    <t>Add global exception handlers with one error format</t>
  </si>
  <si>
    <t>Learn Redis basics (keys, TTL)</t>
  </si>
  <si>
    <t>Cache a read-heavy endpoint</t>
  </si>
  <si>
    <t>Use FastAPI BackgroundTasks</t>
  </si>
  <si>
    <t>Run a queued job with Celery or ARQ</t>
  </si>
  <si>
    <t>Implement rate limiting with Redis</t>
  </si>
  <si>
    <t>Linux basics: permissions, processes, systemd, ssh</t>
  </si>
  <si>
    <t>Write a Dockerfile (multi-stage)</t>
  </si>
  <si>
    <t>Run app + DB with docker-compose</t>
  </si>
  <si>
    <t>Deploy to a cloud host (Render/Railway/AWS/VPS)</t>
  </si>
  <si>
    <t>Set up Nginx reverse proxy and HTTPS</t>
  </si>
  <si>
    <t>Manage env vars/secrets; add a /health endpoint</t>
  </si>
  <si>
    <t>Run pytest on every push with GitHub Actions</t>
  </si>
  <si>
    <t>Add lint/format checks (ruff, black)</t>
  </si>
  <si>
    <t>Build and push Docker image</t>
  </si>
  <si>
    <t>Auto-deploy on merge to main</t>
  </si>
  <si>
    <t>Choose project; write requirements and ERD</t>
  </si>
  <si>
    <t>Implement models and migrations</t>
  </si>
  <si>
    <t>Implement CRUD + auth endpoints</t>
  </si>
  <si>
    <t>Write tests (80%+ coverage)</t>
  </si>
  <si>
    <t>Dockerize and deploy</t>
  </si>
  <si>
    <t>Write README with API docs and live demo link</t>
  </si>
  <si>
    <t>Add project to GitHub profile / portfolio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</si>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</sst>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dd\-mmm\-yy"/>
  </numFmts>
  <fonts count="20" x14ac:knownFonts="1">
    <font>
      <sz val="11"/>
      <color theme="1"/>
      <name val="Calibri"/>
      <family val="2"/>
      <charset val="1"/>
    </font>
    <font>
      <b/>
      <sz val="12"/>
      <color rgb="FF1F3864"/>
      <name val="Times New Roman"/>
      <family val="1"/>
    </font>
    <font>
      <sz val="12"/>
      <color theme="1"/>
      <name val="Times New Roman"/>
      <family val="1"/>
    </font>
    <font>
      <i/>
      <sz val="12"/>
      <color rgb="FF595959"/>
      <name val="Times New Roman"/>
      <family val="1"/>
    </font>
    <font>
      <b/>
      <sz val="12"/>
      <name val="Times New Roman"/>
      <family val="1"/>
    </font>
    <font>
      <b/>
      <sz val="12"/>
      <color rgb="FF0000FF"/>
      <name val="Times New Roman"/>
      <family val="1"/>
    </font>
    <font>
      <sz val="12"/>
      <name val="Times New Roman"/>
      <family val="1"/>
    </font>
    <font>
      <b/>
      <sz val="12"/>
      <color rgb="FFFFFFFF"/>
      <name val="Times New Roman"/>
      <family val="1"/>
    </font>
    <font>
      <b/>
      <sz val="18"/>
      <color rgb="FF1F3864"/>
      <name val="Times New Roman"/>
      <family val="1"/>
    </font>
    <font>
      <sz val="14"/>
      <color theme="1"/>
      <name val="Times New Roman"/>
      <family val="1"/>
    </font>
    <font>
      <i/>
      <sz val="14"/>
      <color rgb="FF595959"/>
      <name val="Times New Roman"/>
      <family val="1"/>
    </font>
    <font>
      <b/>
      <sz val="14"/>
      <color rgb="FFFFFFFF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rgb="FF0000FF"/>
      <name val="Times New Roman"/>
      <family val="1"/>
    </font>
    <font>
      <b/>
      <sz val="12"/>
      <color theme="9"/>
      <name val="Times New Roman"/>
      <family val="1"/>
    </font>
    <font>
      <sz val="12"/>
      <color theme="9"/>
      <name val="Times New Roman"/>
      <family val="1"/>
    </font>
    <font>
      <b/>
      <sz val="20"/>
      <color rgb="FF1F3864"/>
      <name val="Times New Roman"/>
      <family val="1"/>
    </font>
    <font>
      <b/>
      <sz val="22"/>
      <name val="Times New Roman"/>
      <family val="1"/>
    </font>
    <font>
      <b/>
      <sz val="14"/>
      <color theme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9D9D9"/>
      </patternFill>
    </fill>
    <fill>
      <patternFill patternType="solid">
        <fgColor rgb="FFFFFF99"/>
        <bgColor rgb="FFFFEB9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5" fillId="3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9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/>
    </xf>
    <xf numFmtId="9" fontId="13" fillId="2" borderId="1" xfId="0" applyNumberFormat="1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6" fillId="0" borderId="0" xfId="0" applyFont="1"/>
    <xf numFmtId="0" fontId="19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strike/>
        <color rgb="FF7F7F7F"/>
        <name val="Arial"/>
        <charset val="1"/>
      </font>
    </dxf>
    <dxf>
      <font>
        <color rgb="FF7F7F7F"/>
        <name val="Arial"/>
        <charset val="1"/>
      </font>
      <fill>
        <patternFill>
          <bgColor rgb="FFD9D9D9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A6A6A6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EB9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7"/>
  <sheetViews>
    <sheetView showGridLines="0" topLeftCell="A11" zoomScaleNormal="100" workbookViewId="0">
      <selection activeCell="E10" sqref="E10"/>
    </sheetView>
  </sheetViews>
  <sheetFormatPr defaultColWidth="8.6328125" defaultRowHeight="15.5" x14ac:dyDescent="0.35"/>
  <cols>
    <col min="1" max="1" width="20.36328125" style="2" customWidth="1"/>
    <col min="2" max="2" width="34" style="2" customWidth="1"/>
    <col min="3" max="3" width="18" style="2" customWidth="1"/>
    <col min="4" max="5" width="14" style="2" customWidth="1"/>
    <col min="6" max="6" width="12" style="2" customWidth="1"/>
    <col min="7" max="16384" width="8.6328125" style="2"/>
  </cols>
  <sheetData>
    <row r="1" spans="2:7" ht="29.5" customHeight="1" x14ac:dyDescent="0.35">
      <c r="B1" s="34" t="s">
        <v>0</v>
      </c>
      <c r="C1" s="34"/>
      <c r="D1" s="34"/>
      <c r="E1" s="34"/>
      <c r="F1" s="34"/>
      <c r="G1" s="34"/>
    </row>
    <row r="2" spans="2:7" x14ac:dyDescent="0.35">
      <c r="B2" s="3"/>
    </row>
    <row r="4" spans="2:7" x14ac:dyDescent="0.35">
      <c r="B4" s="4" t="s">
        <v>1</v>
      </c>
      <c r="C4" s="5">
        <v>46305</v>
      </c>
      <c r="D4" s="3"/>
    </row>
    <row r="6" spans="2:7" x14ac:dyDescent="0.35">
      <c r="B6" s="4" t="s">
        <v>2</v>
      </c>
      <c r="C6" s="6">
        <f>COUNTIF(Roadmap!I5:I20,"Yes")</f>
        <v>14</v>
      </c>
    </row>
    <row r="7" spans="2:7" x14ac:dyDescent="0.35">
      <c r="B7" s="4" t="s">
        <v>3</v>
      </c>
      <c r="C7" s="6">
        <f>COUNTIFS(Roadmap!I5:I20,"Yes",Roadmap!N5:N20,"Completed")</f>
        <v>1</v>
      </c>
    </row>
    <row r="8" spans="2:7" x14ac:dyDescent="0.35">
      <c r="B8" s="4" t="s">
        <v>4</v>
      </c>
      <c r="C8" s="6">
        <f>SUMIFS(Roadmap!K5:K20,Roadmap!I5:I20,"Yes")</f>
        <v>85</v>
      </c>
    </row>
    <row r="9" spans="2:7" x14ac:dyDescent="0.35">
      <c r="B9" s="4" t="s">
        <v>5</v>
      </c>
      <c r="C9" s="6">
        <f>SUMIFS(Roadmap!L5:L20,Roadmap!I5:I20,"Yes")</f>
        <v>20</v>
      </c>
    </row>
    <row r="10" spans="2:7" x14ac:dyDescent="0.35">
      <c r="B10" s="4" t="s">
        <v>6</v>
      </c>
      <c r="C10" s="7">
        <f>IF(C8=0,0,C9/C8)</f>
        <v>0.23529411764705882</v>
      </c>
    </row>
    <row r="11" spans="2:7" x14ac:dyDescent="0.35">
      <c r="B11" s="4" t="s">
        <v>7</v>
      </c>
      <c r="C11" s="6">
        <f>SUMIFS(Roadmap!J5:J20,Roadmap!I5:I20,"Yes")</f>
        <v>30</v>
      </c>
      <c r="D11" s="3"/>
    </row>
    <row r="12" spans="2:7" x14ac:dyDescent="0.35">
      <c r="B12" s="4" t="s">
        <v>8</v>
      </c>
      <c r="C12" s="8">
        <f>C4+C11*7-1</f>
        <v>46514</v>
      </c>
    </row>
    <row r="14" spans="2:7" ht="22.5" x14ac:dyDescent="0.35">
      <c r="B14" s="35" t="s">
        <v>9</v>
      </c>
      <c r="C14" s="35"/>
      <c r="D14" s="35"/>
      <c r="E14" s="35"/>
      <c r="F14" s="35"/>
    </row>
    <row r="15" spans="2:7" x14ac:dyDescent="0.35">
      <c r="B15" s="9" t="s">
        <v>10</v>
      </c>
      <c r="C15" s="9" t="s">
        <v>2</v>
      </c>
      <c r="D15" s="9" t="s">
        <v>11</v>
      </c>
      <c r="E15" s="9" t="s">
        <v>5</v>
      </c>
      <c r="F15" s="9" t="s">
        <v>12</v>
      </c>
    </row>
    <row r="16" spans="2:7" x14ac:dyDescent="0.35">
      <c r="B16" s="10" t="s">
        <v>13</v>
      </c>
      <c r="C16" s="11">
        <f>COUNTIFS(Roadmap!$C$5:$C$20,B16,Roadmap!$I$5:$I$20,"Yes")</f>
        <v>5</v>
      </c>
      <c r="D16" s="11">
        <f>SUMIFS(Roadmap!$K$5:$K$20,Roadmap!$C$5:$C$20,B16,Roadmap!$I$5:$I$20,"Yes")</f>
        <v>29</v>
      </c>
      <c r="E16" s="11">
        <f>SUMIFS(Roadmap!$L$5:$L$20,Roadmap!$C$5:$C$20,B16,Roadmap!$I$5:$I$20,"Yes")</f>
        <v>18</v>
      </c>
      <c r="F16" s="12">
        <f>IF(D16=0,0,E16/D16)</f>
        <v>0.62068965517241381</v>
      </c>
    </row>
    <row r="17" spans="2:6" x14ac:dyDescent="0.35">
      <c r="B17" s="10" t="s">
        <v>14</v>
      </c>
      <c r="C17" s="11">
        <f>COUNTIFS(Roadmap!$C$5:$C$20,B17,Roadmap!$I$5:$I$20,"Yes")</f>
        <v>4</v>
      </c>
      <c r="D17" s="11">
        <f>SUMIFS(Roadmap!$K$5:$K$20,Roadmap!$C$5:$C$20,B17,Roadmap!$I$5:$I$20,"Yes")</f>
        <v>24</v>
      </c>
      <c r="E17" s="11">
        <f>SUMIFS(Roadmap!$L$5:$L$20,Roadmap!$C$5:$C$20,B17,Roadmap!$I$5:$I$20,"Yes")</f>
        <v>2</v>
      </c>
      <c r="F17" s="12">
        <f>IF(D17=0,0,E17/D17)</f>
        <v>8.3333333333333329E-2</v>
      </c>
    </row>
    <row r="18" spans="2:6" x14ac:dyDescent="0.35">
      <c r="B18" s="10" t="s">
        <v>15</v>
      </c>
      <c r="C18" s="11">
        <f>COUNTIFS(Roadmap!$C$5:$C$20,B18,Roadmap!$I$5:$I$20,"Yes")</f>
        <v>3</v>
      </c>
      <c r="D18" s="11">
        <f>SUMIFS(Roadmap!$K$5:$K$20,Roadmap!$C$5:$C$20,B18,Roadmap!$I$5:$I$20,"Yes")</f>
        <v>19</v>
      </c>
      <c r="E18" s="11">
        <f>SUMIFS(Roadmap!$L$5:$L$20,Roadmap!$C$5:$C$20,B18,Roadmap!$I$5:$I$20,"Yes")</f>
        <v>0</v>
      </c>
      <c r="F18" s="12">
        <f>IF(D18=0,0,E18/D18)</f>
        <v>0</v>
      </c>
    </row>
    <row r="19" spans="2:6" x14ac:dyDescent="0.35">
      <c r="B19" s="10" t="s">
        <v>16</v>
      </c>
      <c r="C19" s="11">
        <f>COUNTIFS(Roadmap!$C$5:$C$20,B19,Roadmap!$I$5:$I$20,"Yes")</f>
        <v>2</v>
      </c>
      <c r="D19" s="11">
        <f>SUMIFS(Roadmap!$K$5:$K$20,Roadmap!$C$5:$C$20,B19,Roadmap!$I$5:$I$20,"Yes")</f>
        <v>13</v>
      </c>
      <c r="E19" s="11">
        <f>SUMIFS(Roadmap!$L$5:$L$20,Roadmap!$C$5:$C$20,B19,Roadmap!$I$5:$I$20,"Yes")</f>
        <v>0</v>
      </c>
      <c r="F19" s="12">
        <f>IF(D19=0,0,E19/D19)</f>
        <v>0</v>
      </c>
    </row>
    <row r="22" spans="2:6" x14ac:dyDescent="0.35">
      <c r="B22" s="1" t="s">
        <v>17</v>
      </c>
    </row>
    <row r="23" spans="2:6" x14ac:dyDescent="0.35">
      <c r="B23" s="13" t="s">
        <v>18</v>
      </c>
    </row>
    <row r="24" spans="2:6" x14ac:dyDescent="0.35">
      <c r="B24" s="13" t="s">
        <v>19</v>
      </c>
    </row>
    <row r="25" spans="2:6" x14ac:dyDescent="0.35">
      <c r="B25" s="13" t="s">
        <v>20</v>
      </c>
    </row>
    <row r="26" spans="2:6" x14ac:dyDescent="0.35">
      <c r="B26" s="13" t="s">
        <v>21</v>
      </c>
    </row>
    <row r="27" spans="2:6" x14ac:dyDescent="0.35">
      <c r="B27" s="13" t="s">
        <v>22</v>
      </c>
    </row>
  </sheetData>
  <mergeCells count="2">
    <mergeCell ref="B1:G1"/>
    <mergeCell ref="B14:F14"/>
  </mergeCells>
  <conditionalFormatting sqref="C10">
    <cfRule type="dataBar" priority="3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{1730D8DE-18FB-4C67-A155-BA80B75E73D6}</x14:id>
        </ext>
      </extLst>
    </cfRule>
  </conditionalFormatting>
  <conditionalFormatting sqref="F16:F19">
    <cfRule type="dataBar" priority="2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{3F424CEC-A2F2-4D50-B779-4DD5D42F7258}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30D8DE-18FB-4C67-A155-BA80B75E73D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BE7B"/>
            </x14:dataBar>
          </x14:cfRule>
          <xm:sqref>C10</xm:sqref>
        </x14:conditionalFormatting>
        <x14:conditionalFormatting xmlns:xm="http://schemas.microsoft.com/office/excel/2006/main">
          <x14:cfRule type="dataBar" id="{3F424CEC-A2F2-4D50-B779-4DD5D42F7258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BE7B"/>
            </x14:dataBar>
          </x14:cfRule>
          <xm:sqref>F16:F19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21"/>
  <sheetViews>
    <sheetView tabSelected="1" zoomScaleNormal="100" workbookViewId="0">
      <pane xSplit="4" ySplit="4" topLeftCell="M5" activePane="bottomRight" state="frozen"/>
      <selection pane="topRight" activeCell="D1" sqref="D1"/>
      <selection pane="bottomLeft" activeCell="A5" sqref="A5"/>
      <selection pane="bottomRight" activeCell="O19" sqref="O19"/>
    </sheetView>
  </sheetViews>
  <sheetFormatPr defaultColWidth="8.6328125" defaultRowHeight="18" x14ac:dyDescent="0.4"/>
  <cols>
    <col min="1" max="1" width="8.6328125" style="16"/>
    <col min="2" max="2" width="6" style="16" customWidth="1"/>
    <col min="3" max="3" width="20" style="16" customWidth="1"/>
    <col min="4" max="4" width="26" style="16" customWidth="1"/>
    <col min="5" max="6" width="40" style="16" customWidth="1"/>
    <col min="7" max="7" width="10" style="16" customWidth="1"/>
    <col min="8" max="8" width="13" style="16" customWidth="1"/>
    <col min="9" max="9" width="10" style="16" customWidth="1"/>
    <col min="10" max="10" width="9" style="16" customWidth="1"/>
    <col min="11" max="11" width="10.36328125" style="16" customWidth="1"/>
    <col min="12" max="12" width="12.08984375" style="16" customWidth="1"/>
    <col min="13" max="13" width="11.6328125" style="16" customWidth="1"/>
    <col min="14" max="14" width="17.26953125" style="16" customWidth="1"/>
    <col min="15" max="15" width="15.08984375" style="16" customWidth="1"/>
    <col min="16" max="16" width="15.6328125" style="16" customWidth="1"/>
    <col min="17" max="17" width="38" style="16" customWidth="1"/>
    <col min="18" max="18" width="28" style="16" customWidth="1"/>
    <col min="19" max="16384" width="8.6328125" style="16"/>
  </cols>
  <sheetData>
    <row r="1" spans="2:18" ht="25" x14ac:dyDescent="0.4">
      <c r="B1" s="37" t="s">
        <v>23</v>
      </c>
      <c r="C1" s="37"/>
      <c r="D1" s="37"/>
      <c r="E1" s="37"/>
      <c r="F1" s="37"/>
    </row>
    <row r="2" spans="2:18" x14ac:dyDescent="0.4">
      <c r="B2" s="36"/>
      <c r="C2" s="36"/>
      <c r="D2" s="36"/>
      <c r="E2" s="36"/>
      <c r="F2" s="36"/>
      <c r="G2" s="36"/>
    </row>
    <row r="4" spans="2:18" ht="30" customHeight="1" x14ac:dyDescent="0.4">
      <c r="B4" s="17" t="s">
        <v>24</v>
      </c>
      <c r="C4" s="17" t="s">
        <v>10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11</v>
      </c>
      <c r="L4" s="17" t="s">
        <v>32</v>
      </c>
      <c r="M4" s="17" t="s">
        <v>12</v>
      </c>
      <c r="N4" s="17" t="s">
        <v>33</v>
      </c>
      <c r="O4" s="17" t="s">
        <v>34</v>
      </c>
      <c r="P4" s="17" t="s">
        <v>35</v>
      </c>
      <c r="Q4" s="17" t="s">
        <v>36</v>
      </c>
      <c r="R4" s="17" t="s">
        <v>37</v>
      </c>
    </row>
    <row r="5" spans="2:18" ht="43.5" customHeight="1" x14ac:dyDescent="0.4">
      <c r="B5" s="18">
        <v>1</v>
      </c>
      <c r="C5" s="19" t="s">
        <v>13</v>
      </c>
      <c r="D5" s="20" t="s">
        <v>38</v>
      </c>
      <c r="E5" s="19" t="s">
        <v>39</v>
      </c>
      <c r="F5" s="19" t="s">
        <v>40</v>
      </c>
      <c r="G5" s="18" t="s">
        <v>41</v>
      </c>
      <c r="H5" s="18" t="s">
        <v>42</v>
      </c>
      <c r="I5" s="21" t="s">
        <v>43</v>
      </c>
      <c r="J5" s="21">
        <v>3</v>
      </c>
      <c r="K5" s="18">
        <f>COUNTIF(Tasks!$B$5:$B$300,B5)</f>
        <v>7</v>
      </c>
      <c r="L5" s="18">
        <f>COUNTIFS(Tasks!$B$5:$B$300,B5,Tasks!$E$5:$E$300,"Done")</f>
        <v>6</v>
      </c>
      <c r="M5" s="22">
        <f t="shared" ref="M5:M21" si="0">IF(K5=0,0,L5/K5)</f>
        <v>0.8571428571428571</v>
      </c>
      <c r="N5" s="18" t="str">
        <f>IF(I5="No","Excluded",IF(K5=0,"Not Started",IF(L5=K5,"Completed",IF(L5+COUNTIFS(Tasks!$B$5:$B$300,B5,Tasks!$E$5:$E$300,"In Progress")&gt;0,"In Progress","Not Started"))))</f>
        <v>In Progress</v>
      </c>
      <c r="O5" s="23">
        <f>IF(I5="Yes",Dashboard!$C$4+(SUMIFS($J$5:J5,$I$5:I5,"Yes")-J5)*7,"-")</f>
        <v>46305</v>
      </c>
      <c r="P5" s="23">
        <f t="shared" ref="P5:P20" si="1">IF(I5="Yes",O5+J5*7-1,"-")</f>
        <v>46325</v>
      </c>
      <c r="Q5" s="19" t="s">
        <v>44</v>
      </c>
      <c r="R5" s="24"/>
    </row>
    <row r="6" spans="2:18" ht="43.5" customHeight="1" x14ac:dyDescent="0.4">
      <c r="B6" s="18">
        <v>2</v>
      </c>
      <c r="C6" s="19" t="s">
        <v>13</v>
      </c>
      <c r="D6" s="20" t="s">
        <v>45</v>
      </c>
      <c r="E6" s="19" t="s">
        <v>46</v>
      </c>
      <c r="F6" s="19" t="s">
        <v>47</v>
      </c>
      <c r="G6" s="18" t="s">
        <v>48</v>
      </c>
      <c r="H6" s="18" t="s">
        <v>42</v>
      </c>
      <c r="I6" s="21" t="s">
        <v>43</v>
      </c>
      <c r="J6" s="21">
        <v>1</v>
      </c>
      <c r="K6" s="18">
        <f>COUNTIF(Tasks!$B$5:$B$300,B6)</f>
        <v>4</v>
      </c>
      <c r="L6" s="18">
        <f>COUNTIFS(Tasks!$B$5:$B$300,B6,Tasks!$E$5:$E$300,"Done")</f>
        <v>0</v>
      </c>
      <c r="M6" s="22">
        <f t="shared" si="0"/>
        <v>0</v>
      </c>
      <c r="N6" s="18" t="str">
        <f>IF(I6="No","Excluded",IF(K6=0,"Not Started",IF(L6=K6,"Completed",IF(L6+COUNTIFS(Tasks!$B$5:$B$300,B6,Tasks!$E$5:$E$300,"In Progress")&gt;0,"In Progress","Not Started"))))</f>
        <v>Not Started</v>
      </c>
      <c r="O6" s="23">
        <f>IF(I6="Yes",Dashboard!$C$4+(SUMIFS($J$5:J6,$I$5:I6,"Yes")-J6)*7,"-")</f>
        <v>46326</v>
      </c>
      <c r="P6" s="23">
        <f t="shared" si="1"/>
        <v>46332</v>
      </c>
      <c r="Q6" s="19" t="s">
        <v>49</v>
      </c>
      <c r="R6" s="24"/>
    </row>
    <row r="7" spans="2:18" ht="43.5" customHeight="1" x14ac:dyDescent="0.4">
      <c r="B7" s="18">
        <v>3</v>
      </c>
      <c r="C7" s="19" t="s">
        <v>13</v>
      </c>
      <c r="D7" s="20" t="s">
        <v>50</v>
      </c>
      <c r="E7" s="19" t="s">
        <v>51</v>
      </c>
      <c r="F7" s="19" t="s">
        <v>52</v>
      </c>
      <c r="G7" s="18" t="s">
        <v>41</v>
      </c>
      <c r="H7" s="18" t="s">
        <v>42</v>
      </c>
      <c r="I7" s="21" t="s">
        <v>43</v>
      </c>
      <c r="J7" s="21">
        <v>2</v>
      </c>
      <c r="K7" s="18">
        <f>COUNTIF(Tasks!$B$5:$B$300,B7)</f>
        <v>6</v>
      </c>
      <c r="L7" s="18">
        <f>COUNTIFS(Tasks!$B$5:$B$300,B7,Tasks!$E$5:$E$300,"Done")</f>
        <v>6</v>
      </c>
      <c r="M7" s="22">
        <f t="shared" si="0"/>
        <v>1</v>
      </c>
      <c r="N7" s="18" t="str">
        <f>IF(I7="No","Excluded",IF(K7=0,"Not Started",IF(L7=K7,"Completed",IF(L7+COUNTIFS(Tasks!$B$5:$B$300,B7,Tasks!$E$5:$E$300,"In Progress")&gt;0,"In Progress","Not Started"))))</f>
        <v>Completed</v>
      </c>
      <c r="O7" s="23">
        <f>IF(I7="Yes",Dashboard!$C$4+(SUMIFS($J$5:J7,$I$5:I7,"Yes")-J7)*7,"-")</f>
        <v>46333</v>
      </c>
      <c r="P7" s="23">
        <f t="shared" si="1"/>
        <v>46346</v>
      </c>
      <c r="Q7" s="19" t="s">
        <v>53</v>
      </c>
      <c r="R7" s="24"/>
    </row>
    <row r="8" spans="2:18" ht="43.5" customHeight="1" x14ac:dyDescent="0.4">
      <c r="B8" s="18">
        <v>4</v>
      </c>
      <c r="C8" s="19" t="s">
        <v>13</v>
      </c>
      <c r="D8" s="20" t="s">
        <v>54</v>
      </c>
      <c r="E8" s="19" t="s">
        <v>55</v>
      </c>
      <c r="F8" s="19" t="s">
        <v>56</v>
      </c>
      <c r="G8" s="18" t="s">
        <v>41</v>
      </c>
      <c r="H8" s="18" t="s">
        <v>42</v>
      </c>
      <c r="I8" s="21" t="s">
        <v>43</v>
      </c>
      <c r="J8" s="21">
        <v>2</v>
      </c>
      <c r="K8" s="18">
        <f>COUNTIF(Tasks!$B$5:$B$300,B8)</f>
        <v>6</v>
      </c>
      <c r="L8" s="18">
        <f>COUNTIFS(Tasks!$B$5:$B$300,B8,Tasks!$E$5:$E$300,"Done")</f>
        <v>3</v>
      </c>
      <c r="M8" s="22">
        <f t="shared" si="0"/>
        <v>0.5</v>
      </c>
      <c r="N8" s="18" t="str">
        <f>IF(I8="No","Excluded",IF(K8=0,"Not Started",IF(L8=K8,"Completed",IF(L8+COUNTIFS(Tasks!$B$5:$B$300,B8,Tasks!$E$5:$E$300,"In Progress")&gt;0,"In Progress","Not Started"))))</f>
        <v>In Progress</v>
      </c>
      <c r="O8" s="23">
        <f>IF(I8="Yes",Dashboard!$C$4+(SUMIFS($J$5:J8,$I$5:I8,"Yes")-J8)*7,"-")</f>
        <v>46347</v>
      </c>
      <c r="P8" s="23">
        <f t="shared" si="1"/>
        <v>46360</v>
      </c>
      <c r="Q8" s="19" t="s">
        <v>57</v>
      </c>
      <c r="R8" s="24"/>
    </row>
    <row r="9" spans="2:18" ht="43.5" customHeight="1" x14ac:dyDescent="0.4">
      <c r="B9" s="18">
        <v>5</v>
      </c>
      <c r="C9" s="19" t="s">
        <v>13</v>
      </c>
      <c r="D9" s="20" t="s">
        <v>58</v>
      </c>
      <c r="E9" s="19" t="s">
        <v>59</v>
      </c>
      <c r="F9" s="19" t="s">
        <v>60</v>
      </c>
      <c r="G9" s="18" t="s">
        <v>41</v>
      </c>
      <c r="H9" s="18" t="s">
        <v>42</v>
      </c>
      <c r="I9" s="21" t="s">
        <v>43</v>
      </c>
      <c r="J9" s="21">
        <v>1</v>
      </c>
      <c r="K9" s="18">
        <f>COUNTIF(Tasks!$B$5:$B$300,B9)</f>
        <v>6</v>
      </c>
      <c r="L9" s="18">
        <f>COUNTIFS(Tasks!$B$5:$B$300,B9,Tasks!$E$5:$E$300,"Done")</f>
        <v>3</v>
      </c>
      <c r="M9" s="22">
        <f t="shared" si="0"/>
        <v>0.5</v>
      </c>
      <c r="N9" s="18" t="str">
        <f>IF(I9="No","Excluded",IF(K9=0,"Not Started",IF(L9=K9,"Completed",IF(L9+COUNTIFS(Tasks!$B$5:$B$300,B9,Tasks!$E$5:$E$300,"In Progress")&gt;0,"In Progress","Not Started"))))</f>
        <v>In Progress</v>
      </c>
      <c r="O9" s="23">
        <f>IF(I9="Yes",Dashboard!$C$4+(SUMIFS($J$5:J9,$I$5:I9,"Yes")-J9)*7,"-")</f>
        <v>46361</v>
      </c>
      <c r="P9" s="23">
        <f t="shared" si="1"/>
        <v>46367</v>
      </c>
      <c r="Q9" s="19" t="s">
        <v>61</v>
      </c>
      <c r="R9" s="24"/>
    </row>
    <row r="10" spans="2:18" ht="43.5" customHeight="1" x14ac:dyDescent="0.4">
      <c r="B10" s="18">
        <v>6</v>
      </c>
      <c r="C10" s="19" t="s">
        <v>14</v>
      </c>
      <c r="D10" s="20" t="s">
        <v>62</v>
      </c>
      <c r="E10" s="19" t="s">
        <v>63</v>
      </c>
      <c r="F10" s="19" t="s">
        <v>64</v>
      </c>
      <c r="G10" s="18" t="s">
        <v>41</v>
      </c>
      <c r="H10" s="18" t="s">
        <v>42</v>
      </c>
      <c r="I10" s="21" t="s">
        <v>43</v>
      </c>
      <c r="J10" s="21">
        <v>3</v>
      </c>
      <c r="K10" s="18">
        <f>COUNTIF(Tasks!$B$5:$B$300,B10)</f>
        <v>8</v>
      </c>
      <c r="L10" s="18">
        <f>COUNTIFS(Tasks!$B$5:$B$300,B10,Tasks!$E$5:$E$300,"Done")</f>
        <v>2</v>
      </c>
      <c r="M10" s="22">
        <f t="shared" si="0"/>
        <v>0.25</v>
      </c>
      <c r="N10" s="18" t="str">
        <f>IF(I10="No","Excluded",IF(K10=0,"Not Started",IF(L10=K10,"Completed",IF(L10+COUNTIFS(Tasks!$B$5:$B$300,B10,Tasks!$E$5:$E$300,"In Progress")&gt;0,"In Progress","Not Started"))))</f>
        <v>In Progress</v>
      </c>
      <c r="O10" s="23">
        <f>IF(I10="Yes",Dashboard!$C$4+(SUMIFS($J$5:J10,$I$5:I10,"Yes")-J10)*7,"-")</f>
        <v>46368</v>
      </c>
      <c r="P10" s="23">
        <f t="shared" si="1"/>
        <v>46388</v>
      </c>
      <c r="Q10" s="19" t="s">
        <v>65</v>
      </c>
      <c r="R10" s="24"/>
    </row>
    <row r="11" spans="2:18" ht="43.5" customHeight="1" x14ac:dyDescent="0.4">
      <c r="B11" s="18">
        <v>7</v>
      </c>
      <c r="C11" s="19" t="s">
        <v>14</v>
      </c>
      <c r="D11" s="20" t="s">
        <v>66</v>
      </c>
      <c r="E11" s="19" t="s">
        <v>67</v>
      </c>
      <c r="F11" s="19" t="s">
        <v>68</v>
      </c>
      <c r="G11" s="18" t="s">
        <v>41</v>
      </c>
      <c r="H11" s="18" t="s">
        <v>42</v>
      </c>
      <c r="I11" s="21" t="s">
        <v>43</v>
      </c>
      <c r="J11" s="21">
        <v>1</v>
      </c>
      <c r="K11" s="18">
        <f>COUNTIF(Tasks!$B$5:$B$300,B11)</f>
        <v>5</v>
      </c>
      <c r="L11" s="18">
        <f>COUNTIFS(Tasks!$B$5:$B$300,B11,Tasks!$E$5:$E$300,"Done")</f>
        <v>0</v>
      </c>
      <c r="M11" s="22">
        <f t="shared" si="0"/>
        <v>0</v>
      </c>
      <c r="N11" s="18" t="str">
        <f>IF(I11="No","Excluded",IF(K11=0,"Not Started",IF(L11=K11,"Completed",IF(L11+COUNTIFS(Tasks!$B$5:$B$300,B11,Tasks!$E$5:$E$300,"In Progress")&gt;0,"In Progress","Not Started"))))</f>
        <v>Not Started</v>
      </c>
      <c r="O11" s="23">
        <f>IF(I11="Yes",Dashboard!$C$4+(SUMIFS($J$5:J11,$I$5:I11,"Yes")-J11)*7,"-")</f>
        <v>46389</v>
      </c>
      <c r="P11" s="23">
        <f t="shared" si="1"/>
        <v>46395</v>
      </c>
      <c r="Q11" s="19" t="s">
        <v>69</v>
      </c>
      <c r="R11" s="24"/>
    </row>
    <row r="12" spans="2:18" ht="43.5" customHeight="1" x14ac:dyDescent="0.4">
      <c r="B12" s="18">
        <v>8</v>
      </c>
      <c r="C12" s="19" t="s">
        <v>14</v>
      </c>
      <c r="D12" s="20" t="s">
        <v>70</v>
      </c>
      <c r="E12" s="19" t="s">
        <v>71</v>
      </c>
      <c r="F12" s="19" t="s">
        <v>72</v>
      </c>
      <c r="G12" s="18" t="s">
        <v>41</v>
      </c>
      <c r="H12" s="18" t="s">
        <v>42</v>
      </c>
      <c r="I12" s="21" t="s">
        <v>43</v>
      </c>
      <c r="J12" s="21">
        <v>2</v>
      </c>
      <c r="K12" s="18">
        <f>COUNTIF(Tasks!$B$5:$B$300,B12)</f>
        <v>6</v>
      </c>
      <c r="L12" s="18">
        <f>COUNTIFS(Tasks!$B$5:$B$300,B12,Tasks!$E$5:$E$300,"Done")</f>
        <v>0</v>
      </c>
      <c r="M12" s="22">
        <f t="shared" si="0"/>
        <v>0</v>
      </c>
      <c r="N12" s="18" t="str">
        <f>IF(I12="No","Excluded",IF(K12=0,"Not Started",IF(L12=K12,"Completed",IF(L12+COUNTIFS(Tasks!$B$5:$B$300,B12,Tasks!$E$5:$E$300,"In Progress")&gt;0,"In Progress","Not Started"))))</f>
        <v>Not Started</v>
      </c>
      <c r="O12" s="23">
        <f>IF(I12="Yes",Dashboard!$C$4+(SUMIFS($J$5:J12,$I$5:I12,"Yes")-J12)*7,"-")</f>
        <v>46396</v>
      </c>
      <c r="P12" s="23">
        <f t="shared" si="1"/>
        <v>46409</v>
      </c>
      <c r="Q12" s="19" t="s">
        <v>73</v>
      </c>
      <c r="R12" s="24"/>
    </row>
    <row r="13" spans="2:18" ht="43.5" customHeight="1" x14ac:dyDescent="0.4">
      <c r="B13" s="18">
        <v>9</v>
      </c>
      <c r="C13" s="19" t="s">
        <v>14</v>
      </c>
      <c r="D13" s="20" t="s">
        <v>74</v>
      </c>
      <c r="E13" s="19" t="s">
        <v>75</v>
      </c>
      <c r="F13" s="19" t="s">
        <v>76</v>
      </c>
      <c r="G13" s="18" t="s">
        <v>48</v>
      </c>
      <c r="H13" s="18" t="s">
        <v>77</v>
      </c>
      <c r="I13" s="21" t="s">
        <v>43</v>
      </c>
      <c r="J13" s="21">
        <v>2</v>
      </c>
      <c r="K13" s="18">
        <f>COUNTIF(Tasks!$B$5:$B$300,B13)</f>
        <v>5</v>
      </c>
      <c r="L13" s="18">
        <f>COUNTIFS(Tasks!$B$5:$B$300,B13,Tasks!$E$5:$E$300,"Done")</f>
        <v>0</v>
      </c>
      <c r="M13" s="22">
        <f t="shared" si="0"/>
        <v>0</v>
      </c>
      <c r="N13" s="18" t="str">
        <f>IF(I13="No","Excluded",IF(K13=0,"Not Started",IF(L13=K13,"Completed",IF(L13+COUNTIFS(Tasks!$B$5:$B$300,B13,Tasks!$E$5:$E$300,"In Progress")&gt;0,"In Progress","Not Started"))))</f>
        <v>Not Started</v>
      </c>
      <c r="O13" s="23">
        <f>IF(I13="Yes",Dashboard!$C$4+(SUMIFS($J$5:J13,$I$5:I13,"Yes")-J13)*7,"-")</f>
        <v>46410</v>
      </c>
      <c r="P13" s="23">
        <f t="shared" si="1"/>
        <v>46423</v>
      </c>
      <c r="Q13" s="19" t="s">
        <v>78</v>
      </c>
      <c r="R13" s="24"/>
    </row>
    <row r="14" spans="2:18" ht="43.5" customHeight="1" x14ac:dyDescent="0.4">
      <c r="B14" s="18">
        <v>10</v>
      </c>
      <c r="C14" s="19" t="s">
        <v>15</v>
      </c>
      <c r="D14" s="20" t="s">
        <v>79</v>
      </c>
      <c r="E14" s="19" t="s">
        <v>80</v>
      </c>
      <c r="F14" s="19" t="s">
        <v>81</v>
      </c>
      <c r="G14" s="18" t="s">
        <v>41</v>
      </c>
      <c r="H14" s="18" t="s">
        <v>42</v>
      </c>
      <c r="I14" s="21" t="s">
        <v>43</v>
      </c>
      <c r="J14" s="21">
        <v>2</v>
      </c>
      <c r="K14" s="18">
        <f>COUNTIF(Tasks!$B$5:$B$300,B14)</f>
        <v>7</v>
      </c>
      <c r="L14" s="18">
        <f>COUNTIFS(Tasks!$B$5:$B$300,B14,Tasks!$E$5:$E$300,"Done")</f>
        <v>0</v>
      </c>
      <c r="M14" s="22">
        <f t="shared" si="0"/>
        <v>0</v>
      </c>
      <c r="N14" s="18" t="str">
        <f>IF(I14="No","Excluded",IF(K14=0,"Not Started",IF(L14=K14,"Completed",IF(L14+COUNTIFS(Tasks!$B$5:$B$300,B14,Tasks!$E$5:$E$300,"In Progress")&gt;0,"In Progress","Not Started"))))</f>
        <v>Not Started</v>
      </c>
      <c r="O14" s="23">
        <f>IF(I14="Yes",Dashboard!$C$4+(SUMIFS($J$5:J14,$I$5:I14,"Yes")-J14)*7,"-")</f>
        <v>46424</v>
      </c>
      <c r="P14" s="23">
        <f t="shared" si="1"/>
        <v>46437</v>
      </c>
      <c r="Q14" s="19" t="s">
        <v>82</v>
      </c>
      <c r="R14" s="24"/>
    </row>
    <row r="15" spans="2:18" ht="43.5" customHeight="1" x14ac:dyDescent="0.4">
      <c r="B15" s="18">
        <v>11</v>
      </c>
      <c r="C15" s="19" t="s">
        <v>15</v>
      </c>
      <c r="D15" s="20" t="s">
        <v>83</v>
      </c>
      <c r="E15" s="19" t="s">
        <v>84</v>
      </c>
      <c r="F15" s="19" t="s">
        <v>85</v>
      </c>
      <c r="G15" s="18" t="s">
        <v>41</v>
      </c>
      <c r="H15" s="18" t="s">
        <v>42</v>
      </c>
      <c r="I15" s="21" t="s">
        <v>43</v>
      </c>
      <c r="J15" s="21">
        <v>2</v>
      </c>
      <c r="K15" s="18">
        <f>COUNTIF(Tasks!$B$5:$B$300,B15)</f>
        <v>6</v>
      </c>
      <c r="L15" s="18">
        <f>COUNTIFS(Tasks!$B$5:$B$300,B15,Tasks!$E$5:$E$300,"Done")</f>
        <v>0</v>
      </c>
      <c r="M15" s="22">
        <f t="shared" si="0"/>
        <v>0</v>
      </c>
      <c r="N15" s="18" t="str">
        <f>IF(I15="No","Excluded",IF(K15=0,"Not Started",IF(L15=K15,"Completed",IF(L15+COUNTIFS(Tasks!$B$5:$B$300,B15,Tasks!$E$5:$E$300,"In Progress")&gt;0,"In Progress","Not Started"))))</f>
        <v>Not Started</v>
      </c>
      <c r="O15" s="23">
        <f>IF(I15="Yes",Dashboard!$C$4+(SUMIFS($J$5:J15,$I$5:I15,"Yes")-J15)*7,"-")</f>
        <v>46438</v>
      </c>
      <c r="P15" s="23">
        <f t="shared" si="1"/>
        <v>46451</v>
      </c>
      <c r="Q15" s="19" t="s">
        <v>86</v>
      </c>
      <c r="R15" s="24"/>
    </row>
    <row r="16" spans="2:18" ht="43.5" customHeight="1" x14ac:dyDescent="0.4">
      <c r="B16" s="18">
        <v>12</v>
      </c>
      <c r="C16" s="19" t="s">
        <v>15</v>
      </c>
      <c r="D16" s="20" t="s">
        <v>87</v>
      </c>
      <c r="E16" s="19" t="s">
        <v>88</v>
      </c>
      <c r="F16" s="19" t="s">
        <v>89</v>
      </c>
      <c r="G16" s="18" t="s">
        <v>48</v>
      </c>
      <c r="H16" s="18" t="s">
        <v>77</v>
      </c>
      <c r="I16" s="21" t="s">
        <v>43</v>
      </c>
      <c r="J16" s="21">
        <v>2</v>
      </c>
      <c r="K16" s="18">
        <f>COUNTIF(Tasks!$B$5:$B$300,B16)</f>
        <v>6</v>
      </c>
      <c r="L16" s="18">
        <f>COUNTIFS(Tasks!$B$5:$B$300,B16,Tasks!$E$5:$E$300,"Done")</f>
        <v>0</v>
      </c>
      <c r="M16" s="22">
        <f t="shared" si="0"/>
        <v>0</v>
      </c>
      <c r="N16" s="18" t="str">
        <f>IF(I16="No","Excluded",IF(K16=0,"Not Started",IF(L16=K16,"Completed",IF(L16+COUNTIFS(Tasks!$B$5:$B$300,B16,Tasks!$E$5:$E$300,"In Progress")&gt;0,"In Progress","Not Started"))))</f>
        <v>Not Started</v>
      </c>
      <c r="O16" s="23">
        <f>IF(I16="Yes",Dashboard!$C$4+(SUMIFS($J$5:J16,$I$5:I16,"Yes")-J16)*7,"-")</f>
        <v>46452</v>
      </c>
      <c r="P16" s="23">
        <f t="shared" si="1"/>
        <v>46465</v>
      </c>
      <c r="Q16" s="19" t="s">
        <v>90</v>
      </c>
      <c r="R16" s="24"/>
    </row>
    <row r="17" spans="2:18" ht="43.5" customHeight="1" x14ac:dyDescent="0.4">
      <c r="B17" s="18">
        <v>13</v>
      </c>
      <c r="C17" s="19" t="s">
        <v>16</v>
      </c>
      <c r="D17" s="20" t="s">
        <v>91</v>
      </c>
      <c r="E17" s="19" t="s">
        <v>92</v>
      </c>
      <c r="F17" s="19" t="s">
        <v>93</v>
      </c>
      <c r="G17" s="18" t="s">
        <v>48</v>
      </c>
      <c r="H17" s="18" t="s">
        <v>94</v>
      </c>
      <c r="I17" s="21" t="s">
        <v>95</v>
      </c>
      <c r="J17" s="21">
        <v>2</v>
      </c>
      <c r="K17" s="18">
        <f>COUNTIF(Tasks!$B$5:$B$300,B17)</f>
        <v>5</v>
      </c>
      <c r="L17" s="18">
        <f>COUNTIFS(Tasks!$B$5:$B$300,B17,Tasks!$E$5:$E$300,"Done")</f>
        <v>0</v>
      </c>
      <c r="M17" s="22">
        <f t="shared" si="0"/>
        <v>0</v>
      </c>
      <c r="N17" s="18" t="str">
        <f>IF(I17="No","Excluded",IF(K17=0,"Not Started",IF(L17=K17,"Completed",IF(L17+COUNTIFS(Tasks!$B$5:$B$300,B17,Tasks!$E$5:$E$300,"In Progress")&gt;0,"In Progress","Not Started"))))</f>
        <v>Excluded</v>
      </c>
      <c r="O17" s="23" t="str">
        <f>IF(I17="Yes",Dashboard!$C$4+(SUMIFS($J$5:J17,$I$5:I17,"Yes")-J17)*7,"-")</f>
        <v>-</v>
      </c>
      <c r="P17" s="23" t="str">
        <f t="shared" si="1"/>
        <v>-</v>
      </c>
      <c r="Q17" s="19" t="s">
        <v>96</v>
      </c>
      <c r="R17" s="24"/>
    </row>
    <row r="18" spans="2:18" ht="43.5" customHeight="1" x14ac:dyDescent="0.4">
      <c r="B18" s="18">
        <v>14</v>
      </c>
      <c r="C18" s="19" t="s">
        <v>16</v>
      </c>
      <c r="D18" s="20" t="s">
        <v>97</v>
      </c>
      <c r="E18" s="19" t="s">
        <v>98</v>
      </c>
      <c r="F18" s="19" t="s">
        <v>99</v>
      </c>
      <c r="G18" s="18" t="s">
        <v>41</v>
      </c>
      <c r="H18" s="18" t="s">
        <v>42</v>
      </c>
      <c r="I18" s="21" t="s">
        <v>43</v>
      </c>
      <c r="J18" s="21">
        <v>3</v>
      </c>
      <c r="K18" s="18">
        <f>COUNTIF(Tasks!$B$5:$B$300,B18)</f>
        <v>6</v>
      </c>
      <c r="L18" s="18">
        <f>COUNTIFS(Tasks!$B$5:$B$300,B18,Tasks!$E$5:$E$300,"Done")</f>
        <v>0</v>
      </c>
      <c r="M18" s="22">
        <f t="shared" si="0"/>
        <v>0</v>
      </c>
      <c r="N18" s="18" t="str">
        <f>IF(I18="No","Excluded",IF(K18=0,"Not Started",IF(L18=K18,"Completed",IF(L18+COUNTIFS(Tasks!$B$5:$B$300,B18,Tasks!$E$5:$E$300,"In Progress")&gt;0,"In Progress","Not Started"))))</f>
        <v>Not Started</v>
      </c>
      <c r="O18" s="23">
        <f>IF(I18="Yes",Dashboard!$C$4+(SUMIFS($J$5:J18,$I$5:I18,"Yes")-J18)*7,"-")</f>
        <v>46466</v>
      </c>
      <c r="P18" s="23">
        <f t="shared" si="1"/>
        <v>46486</v>
      </c>
      <c r="Q18" s="19" t="s">
        <v>100</v>
      </c>
      <c r="R18" s="24"/>
    </row>
    <row r="19" spans="2:18" ht="43.5" customHeight="1" x14ac:dyDescent="0.4">
      <c r="B19" s="18">
        <v>15</v>
      </c>
      <c r="C19" s="19" t="s">
        <v>16</v>
      </c>
      <c r="D19" s="20" t="s">
        <v>101</v>
      </c>
      <c r="E19" s="19" t="s">
        <v>102</v>
      </c>
      <c r="F19" s="19" t="s">
        <v>103</v>
      </c>
      <c r="G19" s="18" t="s">
        <v>48</v>
      </c>
      <c r="H19" s="18" t="s">
        <v>94</v>
      </c>
      <c r="I19" s="21" t="s">
        <v>95</v>
      </c>
      <c r="J19" s="21">
        <v>1</v>
      </c>
      <c r="K19" s="18">
        <f>COUNTIF(Tasks!$B$5:$B$300,B19)</f>
        <v>4</v>
      </c>
      <c r="L19" s="18">
        <f>COUNTIFS(Tasks!$B$5:$B$300,B19,Tasks!$E$5:$E$300,"Done")</f>
        <v>0</v>
      </c>
      <c r="M19" s="22">
        <f t="shared" si="0"/>
        <v>0</v>
      </c>
      <c r="N19" s="18" t="str">
        <f>IF(I19="No","Excluded",IF(K19=0,"Not Started",IF(L19=K19,"Completed",IF(L19+COUNTIFS(Tasks!$B$5:$B$300,B19,Tasks!$E$5:$E$300,"In Progress")&gt;0,"In Progress","Not Started"))))</f>
        <v>Excluded</v>
      </c>
      <c r="O19" s="23" t="str">
        <f>IF(I19="Yes",Dashboard!$C$4+(SUMIFS($J$5:J19,$I$5:I19,"Yes")-J19)*7,"-")</f>
        <v>-</v>
      </c>
      <c r="P19" s="23" t="str">
        <f t="shared" si="1"/>
        <v>-</v>
      </c>
      <c r="Q19" s="19" t="s">
        <v>104</v>
      </c>
      <c r="R19" s="24"/>
    </row>
    <row r="20" spans="2:18" ht="43.5" customHeight="1" x14ac:dyDescent="0.4">
      <c r="B20" s="18">
        <v>16</v>
      </c>
      <c r="C20" s="19" t="s">
        <v>16</v>
      </c>
      <c r="D20" s="20" t="s">
        <v>105</v>
      </c>
      <c r="E20" s="19" t="s">
        <v>106</v>
      </c>
      <c r="F20" s="19" t="s">
        <v>107</v>
      </c>
      <c r="G20" s="18" t="s">
        <v>48</v>
      </c>
      <c r="H20" s="18" t="s">
        <v>42</v>
      </c>
      <c r="I20" s="21" t="s">
        <v>43</v>
      </c>
      <c r="J20" s="21">
        <v>4</v>
      </c>
      <c r="K20" s="18">
        <f>COUNTIF(Tasks!$B$5:$B$300,B20)</f>
        <v>7</v>
      </c>
      <c r="L20" s="18">
        <f>COUNTIFS(Tasks!$B$5:$B$300,B20,Tasks!$E$5:$E$300,"Done")</f>
        <v>0</v>
      </c>
      <c r="M20" s="22">
        <f t="shared" si="0"/>
        <v>0</v>
      </c>
      <c r="N20" s="18" t="str">
        <f>IF(I20="No","Excluded",IF(K20=0,"Not Started",IF(L20=K20,"Completed",IF(L20+COUNTIFS(Tasks!$B$5:$B$300,B20,Tasks!$E$5:$E$300,"In Progress")&gt;0,"In Progress","Not Started"))))</f>
        <v>Not Started</v>
      </c>
      <c r="O20" s="23">
        <f>IF(I20="Yes",Dashboard!$C$4+(SUMIFS($J$5:J20,$I$5:I20,"Yes")-J20)*7,"-")</f>
        <v>46487</v>
      </c>
      <c r="P20" s="23">
        <f t="shared" si="1"/>
        <v>46514</v>
      </c>
      <c r="Q20" s="19" t="s">
        <v>108</v>
      </c>
      <c r="R20" s="24"/>
    </row>
    <row r="21" spans="2:18" x14ac:dyDescent="0.4">
      <c r="B21" s="25"/>
      <c r="C21" s="25"/>
      <c r="D21" s="25" t="s">
        <v>109</v>
      </c>
      <c r="E21" s="26"/>
      <c r="F21" s="26"/>
      <c r="G21" s="26"/>
      <c r="H21" s="26"/>
      <c r="I21" s="26"/>
      <c r="J21" s="26">
        <f>SUMIFS(J5:J20,I5:I20,"Yes")</f>
        <v>30</v>
      </c>
      <c r="K21" s="26">
        <f>SUMIFS(K5:K20,I5:I20,"Yes")</f>
        <v>85</v>
      </c>
      <c r="L21" s="26">
        <f>SUMIFS(L5:L20,I5:I20,"Yes")</f>
        <v>20</v>
      </c>
      <c r="M21" s="27">
        <f t="shared" si="0"/>
        <v>0.23529411764705882</v>
      </c>
      <c r="N21" s="26"/>
      <c r="O21" s="26"/>
      <c r="P21" s="26"/>
      <c r="Q21" s="26"/>
      <c r="R21" s="26"/>
    </row>
  </sheetData>
  <mergeCells count="2">
    <mergeCell ref="B2:G2"/>
    <mergeCell ref="B1:F1"/>
  </mergeCells>
  <conditionalFormatting sqref="B5:H20">
    <cfRule type="expression" dxfId="6" priority="5">
      <formula>$I5="No"</formula>
    </cfRule>
  </conditionalFormatting>
  <conditionalFormatting sqref="M5:M20">
    <cfRule type="dataBar" priority="6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{461EF65F-DAB0-4B1B-9B5F-493015C64542}</x14:id>
        </ext>
      </extLst>
    </cfRule>
  </conditionalFormatting>
  <conditionalFormatting sqref="N5:N20">
    <cfRule type="cellIs" dxfId="5" priority="2" operator="equal">
      <formula>"Completed"</formula>
    </cfRule>
    <cfRule type="cellIs" dxfId="4" priority="3" operator="equal">
      <formula>"In Progress"</formula>
    </cfRule>
    <cfRule type="cellIs" dxfId="3" priority="4" operator="equal">
      <formula>"Excluded"</formula>
    </cfRule>
  </conditionalFormatting>
  <dataValidations count="2">
    <dataValidation type="list" sqref="I5:I20" xr:uid="{00000000-0002-0000-0100-000000000000}">
      <formula1>"Yes,No"</formula1>
      <formula2>0</formula2>
    </dataValidation>
    <dataValidation type="decimal" operator="greaterThanOrEqual" sqref="J5:J20" xr:uid="{00000000-0002-0000-0100-000001000000}">
      <formula1>0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1EF65F-DAB0-4B1B-9B5F-493015C6454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BE7B"/>
            </x14:dataBar>
          </x14:cfRule>
          <xm:sqref>M5:M20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98"/>
  <sheetViews>
    <sheetView zoomScaleNormal="100" workbookViewId="0">
      <pane ySplit="4" topLeftCell="A92" activePane="bottomLeft" state="frozen"/>
      <selection pane="bottomLeft" activeCell="E8" sqref="E8"/>
    </sheetView>
  </sheetViews>
  <sheetFormatPr defaultColWidth="8.6328125" defaultRowHeight="18" x14ac:dyDescent="0.4"/>
  <cols>
    <col min="1" max="1" width="8.6328125" style="13"/>
    <col min="2" max="2" width="10.36328125" style="13" customWidth="1"/>
    <col min="3" max="3" width="30.26953125" style="32" customWidth="1"/>
    <col min="4" max="4" width="72.81640625" style="32" customWidth="1"/>
    <col min="5" max="5" width="20" style="33" customWidth="1"/>
    <col min="6" max="6" width="18.453125" style="33" customWidth="1"/>
    <col min="7" max="7" width="30" style="13" customWidth="1"/>
    <col min="8" max="16384" width="8.6328125" style="13"/>
  </cols>
  <sheetData>
    <row r="1" spans="2:7" ht="15.5" customHeight="1" x14ac:dyDescent="0.35">
      <c r="B1" s="38" t="s">
        <v>110</v>
      </c>
      <c r="C1" s="38"/>
      <c r="D1" s="38"/>
      <c r="E1" s="38"/>
      <c r="F1" s="38"/>
    </row>
    <row r="2" spans="2:7" ht="15.5" customHeight="1" x14ac:dyDescent="0.35">
      <c r="B2" s="38"/>
      <c r="C2" s="38"/>
      <c r="D2" s="38"/>
      <c r="E2" s="38"/>
      <c r="F2" s="38"/>
    </row>
    <row r="4" spans="2:7" s="29" customFormat="1" ht="17.5" x14ac:dyDescent="0.35">
      <c r="B4" s="28" t="s">
        <v>24</v>
      </c>
      <c r="C4" s="30" t="s">
        <v>25</v>
      </c>
      <c r="D4" s="30" t="s">
        <v>111</v>
      </c>
      <c r="E4" s="30" t="s">
        <v>33</v>
      </c>
      <c r="F4" s="30" t="s">
        <v>112</v>
      </c>
      <c r="G4" s="28" t="s">
        <v>37</v>
      </c>
    </row>
    <row r="5" spans="2:7" x14ac:dyDescent="0.35">
      <c r="B5" s="14">
        <v>1</v>
      </c>
      <c r="C5" s="31" t="str">
        <f>IFERROR(INDEX(Roadmap!$D$5:$D$20,MATCH(B5,Roadmap!$B$5:$B$20,0)),"")</f>
        <v>Python</v>
      </c>
      <c r="D5" s="31" t="s">
        <v>113</v>
      </c>
      <c r="E5" s="18" t="s">
        <v>208</v>
      </c>
      <c r="F5" s="23"/>
      <c r="G5" s="15"/>
    </row>
    <row r="6" spans="2:7" x14ac:dyDescent="0.35">
      <c r="B6" s="14">
        <v>1</v>
      </c>
      <c r="C6" s="31" t="str">
        <f>IFERROR(INDEX(Roadmap!$D$5:$D$20,MATCH(B6,Roadmap!$B$5:$B$20,0)),"")</f>
        <v>Python</v>
      </c>
      <c r="D6" s="31" t="s">
        <v>115</v>
      </c>
      <c r="E6" s="18" t="s">
        <v>208</v>
      </c>
      <c r="F6" s="23"/>
      <c r="G6" s="15"/>
    </row>
    <row r="7" spans="2:7" x14ac:dyDescent="0.35">
      <c r="B7" s="14">
        <v>1</v>
      </c>
      <c r="C7" s="31" t="str">
        <f>IFERROR(INDEX(Roadmap!$D$5:$D$20,MATCH(B7,Roadmap!$B$5:$B$20,0)),"")</f>
        <v>Python</v>
      </c>
      <c r="D7" s="31" t="s">
        <v>116</v>
      </c>
      <c r="E7" s="18" t="s">
        <v>208</v>
      </c>
      <c r="F7" s="23"/>
      <c r="G7" s="15"/>
    </row>
    <row r="8" spans="2:7" x14ac:dyDescent="0.35">
      <c r="B8" s="14">
        <v>1</v>
      </c>
      <c r="C8" s="31" t="str">
        <f>IFERROR(INDEX(Roadmap!$D$5:$D$20,MATCH(B8,Roadmap!$B$5:$B$20,0)),"")</f>
        <v>Python</v>
      </c>
      <c r="D8" s="31" t="s">
        <v>117</v>
      </c>
      <c r="E8" s="18" t="s">
        <v>208</v>
      </c>
      <c r="F8" s="23"/>
      <c r="G8" s="15"/>
    </row>
    <row r="9" spans="2:7" x14ac:dyDescent="0.35">
      <c r="B9" s="14">
        <v>1</v>
      </c>
      <c r="C9" s="31" t="str">
        <f>IFERROR(INDEX(Roadmap!$D$5:$D$20,MATCH(B9,Roadmap!$B$5:$B$20,0)),"")</f>
        <v>Python</v>
      </c>
      <c r="D9" s="31" t="s">
        <v>118</v>
      </c>
      <c r="E9" s="18" t="s">
        <v>208</v>
      </c>
      <c r="F9" s="23"/>
      <c r="G9" s="15"/>
    </row>
    <row r="10" spans="2:7" x14ac:dyDescent="0.35">
      <c r="B10" s="14">
        <v>1</v>
      </c>
      <c r="C10" s="31" t="str">
        <f>IFERROR(INDEX(Roadmap!$D$5:$D$20,MATCH(B10,Roadmap!$B$5:$B$20,0)),"")</f>
        <v>Python</v>
      </c>
      <c r="D10" s="31" t="s">
        <v>119</v>
      </c>
      <c r="E10" s="18" t="s">
        <v>208</v>
      </c>
      <c r="F10" s="23"/>
      <c r="G10" s="15"/>
    </row>
    <row r="11" spans="2:7" x14ac:dyDescent="0.35">
      <c r="B11" s="14">
        <v>1</v>
      </c>
      <c r="C11" s="31" t="str">
        <f>IFERROR(INDEX(Roadmap!$D$5:$D$20,MATCH(B11,Roadmap!$B$5:$B$20,0)),"")</f>
        <v>Python</v>
      </c>
      <c r="D11" s="31" t="s">
        <v>120</v>
      </c>
      <c r="E11" s="18" t="s">
        <v>114</v>
      </c>
      <c r="F11" s="23"/>
      <c r="G11" s="15"/>
    </row>
    <row r="12" spans="2:7" x14ac:dyDescent="0.35">
      <c r="B12" s="14">
        <v>2</v>
      </c>
      <c r="C12" s="31" t="str">
        <f>IFERROR(INDEX(Roadmap!$D$5:$D$20,MATCH(B12,Roadmap!$B$5:$B$20,0)),"")</f>
        <v>Git &amp; Command Line</v>
      </c>
      <c r="D12" s="31" t="s">
        <v>121</v>
      </c>
      <c r="E12" s="18" t="s">
        <v>114</v>
      </c>
      <c r="F12" s="23"/>
      <c r="G12" s="15"/>
    </row>
    <row r="13" spans="2:7" x14ac:dyDescent="0.35">
      <c r="B13" s="14">
        <v>2</v>
      </c>
      <c r="C13" s="31" t="str">
        <f>IFERROR(INDEX(Roadmap!$D$5:$D$20,MATCH(B13,Roadmap!$B$5:$B$20,0)),"")</f>
        <v>Git &amp; Command Line</v>
      </c>
      <c r="D13" s="31" t="s">
        <v>122</v>
      </c>
      <c r="E13" s="18" t="s">
        <v>114</v>
      </c>
      <c r="F13" s="23"/>
      <c r="G13" s="15"/>
    </row>
    <row r="14" spans="2:7" x14ac:dyDescent="0.35">
      <c r="B14" s="14">
        <v>2</v>
      </c>
      <c r="C14" s="31" t="str">
        <f>IFERROR(INDEX(Roadmap!$D$5:$D$20,MATCH(B14,Roadmap!$B$5:$B$20,0)),"")</f>
        <v>Git &amp; Command Line</v>
      </c>
      <c r="D14" s="31" t="s">
        <v>123</v>
      </c>
      <c r="E14" s="18" t="s">
        <v>114</v>
      </c>
      <c r="F14" s="23"/>
      <c r="G14" s="15"/>
    </row>
    <row r="15" spans="2:7" x14ac:dyDescent="0.35">
      <c r="B15" s="14">
        <v>2</v>
      </c>
      <c r="C15" s="31" t="str">
        <f>IFERROR(INDEX(Roadmap!$D$5:$D$20,MATCH(B15,Roadmap!$B$5:$B$20,0)),"")</f>
        <v>Git &amp; Command Line</v>
      </c>
      <c r="D15" s="31" t="s">
        <v>124</v>
      </c>
      <c r="E15" s="18" t="s">
        <v>114</v>
      </c>
      <c r="F15" s="23"/>
      <c r="G15" s="15"/>
    </row>
    <row r="16" spans="2:7" x14ac:dyDescent="0.35">
      <c r="B16" s="14">
        <v>3</v>
      </c>
      <c r="C16" s="31" t="str">
        <f>IFERROR(INDEX(Roadmap!$D$5:$D$20,MATCH(B16,Roadmap!$B$5:$B$20,0)),"")</f>
        <v>SQL</v>
      </c>
      <c r="D16" s="31" t="s">
        <v>125</v>
      </c>
      <c r="E16" s="18" t="s">
        <v>208</v>
      </c>
      <c r="F16" s="23"/>
      <c r="G16" s="15"/>
    </row>
    <row r="17" spans="2:7" x14ac:dyDescent="0.35">
      <c r="B17" s="14">
        <v>3</v>
      </c>
      <c r="C17" s="31" t="str">
        <f>IFERROR(INDEX(Roadmap!$D$5:$D$20,MATCH(B17,Roadmap!$B$5:$B$20,0)),"")</f>
        <v>SQL</v>
      </c>
      <c r="D17" s="31" t="s">
        <v>126</v>
      </c>
      <c r="E17" s="18" t="s">
        <v>208</v>
      </c>
      <c r="F17" s="23"/>
      <c r="G17" s="15"/>
    </row>
    <row r="18" spans="2:7" x14ac:dyDescent="0.35">
      <c r="B18" s="14">
        <v>3</v>
      </c>
      <c r="C18" s="31" t="str">
        <f>IFERROR(INDEX(Roadmap!$D$5:$D$20,MATCH(B18,Roadmap!$B$5:$B$20,0)),"")</f>
        <v>SQL</v>
      </c>
      <c r="D18" s="31" t="s">
        <v>127</v>
      </c>
      <c r="E18" s="18" t="s">
        <v>208</v>
      </c>
      <c r="F18" s="23"/>
      <c r="G18" s="15"/>
    </row>
    <row r="19" spans="2:7" x14ac:dyDescent="0.35">
      <c r="B19" s="14">
        <v>3</v>
      </c>
      <c r="C19" s="31" t="str">
        <f>IFERROR(INDEX(Roadmap!$D$5:$D$20,MATCH(B19,Roadmap!$B$5:$B$20,0)),"")</f>
        <v>SQL</v>
      </c>
      <c r="D19" s="31" t="s">
        <v>128</v>
      </c>
      <c r="E19" s="18" t="s">
        <v>208</v>
      </c>
      <c r="F19" s="23"/>
      <c r="G19" s="15"/>
    </row>
    <row r="20" spans="2:7" x14ac:dyDescent="0.35">
      <c r="B20" s="14">
        <v>3</v>
      </c>
      <c r="C20" s="31" t="str">
        <f>IFERROR(INDEX(Roadmap!$D$5:$D$20,MATCH(B20,Roadmap!$B$5:$B$20,0)),"")</f>
        <v>SQL</v>
      </c>
      <c r="D20" s="31" t="s">
        <v>129</v>
      </c>
      <c r="E20" s="18" t="s">
        <v>208</v>
      </c>
      <c r="F20" s="23"/>
      <c r="G20" s="15"/>
    </row>
    <row r="21" spans="2:7" x14ac:dyDescent="0.35">
      <c r="B21" s="14">
        <v>3</v>
      </c>
      <c r="C21" s="31" t="str">
        <f>IFERROR(INDEX(Roadmap!$D$5:$D$20,MATCH(B21,Roadmap!$B$5:$B$20,0)),"")</f>
        <v>SQL</v>
      </c>
      <c r="D21" s="31" t="s">
        <v>130</v>
      </c>
      <c r="E21" s="18" t="s">
        <v>208</v>
      </c>
      <c r="F21" s="23"/>
      <c r="G21" s="15"/>
    </row>
    <row r="22" spans="2:7" x14ac:dyDescent="0.35">
      <c r="B22" s="14">
        <v>4</v>
      </c>
      <c r="C22" s="31" t="str">
        <f>IFERROR(INDEX(Roadmap!$D$5:$D$20,MATCH(B22,Roadmap!$B$5:$B$20,0)),"")</f>
        <v>Database</v>
      </c>
      <c r="D22" s="31" t="s">
        <v>131</v>
      </c>
      <c r="E22" s="18" t="s">
        <v>208</v>
      </c>
      <c r="F22" s="23"/>
      <c r="G22" s="15"/>
    </row>
    <row r="23" spans="2:7" x14ac:dyDescent="0.35">
      <c r="B23" s="14">
        <v>4</v>
      </c>
      <c r="C23" s="31" t="str">
        <f>IFERROR(INDEX(Roadmap!$D$5:$D$20,MATCH(B23,Roadmap!$B$5:$B$20,0)),"")</f>
        <v>Database</v>
      </c>
      <c r="D23" s="31" t="s">
        <v>132</v>
      </c>
      <c r="E23" s="18" t="s">
        <v>208</v>
      </c>
      <c r="F23" s="23"/>
      <c r="G23" s="15"/>
    </row>
    <row r="24" spans="2:7" x14ac:dyDescent="0.35">
      <c r="B24" s="14">
        <v>4</v>
      </c>
      <c r="C24" s="31" t="str">
        <f>IFERROR(INDEX(Roadmap!$D$5:$D$20,MATCH(B24,Roadmap!$B$5:$B$20,0)),"")</f>
        <v>Database</v>
      </c>
      <c r="D24" s="31" t="s">
        <v>133</v>
      </c>
      <c r="E24" s="18" t="s">
        <v>114</v>
      </c>
      <c r="F24" s="23"/>
      <c r="G24" s="15"/>
    </row>
    <row r="25" spans="2:7" x14ac:dyDescent="0.35">
      <c r="B25" s="14">
        <v>4</v>
      </c>
      <c r="C25" s="31" t="str">
        <f>IFERROR(INDEX(Roadmap!$D$5:$D$20,MATCH(B25,Roadmap!$B$5:$B$20,0)),"")</f>
        <v>Database</v>
      </c>
      <c r="D25" s="31" t="s">
        <v>134</v>
      </c>
      <c r="E25" s="18" t="s">
        <v>114</v>
      </c>
      <c r="F25" s="23"/>
      <c r="G25" s="15"/>
    </row>
    <row r="26" spans="2:7" x14ac:dyDescent="0.35">
      <c r="B26" s="14">
        <v>4</v>
      </c>
      <c r="C26" s="31" t="str">
        <f>IFERROR(INDEX(Roadmap!$D$5:$D$20,MATCH(B26,Roadmap!$B$5:$B$20,0)),"")</f>
        <v>Database</v>
      </c>
      <c r="D26" s="31" t="s">
        <v>135</v>
      </c>
      <c r="E26" s="18" t="s">
        <v>208</v>
      </c>
      <c r="F26" s="23"/>
      <c r="G26" s="15"/>
    </row>
    <row r="27" spans="2:7" x14ac:dyDescent="0.35">
      <c r="B27" s="14">
        <v>4</v>
      </c>
      <c r="C27" s="31" t="str">
        <f>IFERROR(INDEX(Roadmap!$D$5:$D$20,MATCH(B27,Roadmap!$B$5:$B$20,0)),"")</f>
        <v>Database</v>
      </c>
      <c r="D27" s="31" t="s">
        <v>136</v>
      </c>
      <c r="E27" s="18" t="s">
        <v>114</v>
      </c>
      <c r="F27" s="23"/>
      <c r="G27" s="15"/>
    </row>
    <row r="28" spans="2:7" x14ac:dyDescent="0.35">
      <c r="B28" s="14">
        <v>5</v>
      </c>
      <c r="C28" s="31" t="str">
        <f>IFERROR(INDEX(Roadmap!$D$5:$D$20,MATCH(B28,Roadmap!$B$5:$B$20,0)),"")</f>
        <v>HTTP</v>
      </c>
      <c r="D28" s="31" t="s">
        <v>137</v>
      </c>
      <c r="E28" s="18" t="s">
        <v>208</v>
      </c>
      <c r="F28" s="23"/>
      <c r="G28" s="15"/>
    </row>
    <row r="29" spans="2:7" ht="36" x14ac:dyDescent="0.35">
      <c r="B29" s="14">
        <v>5</v>
      </c>
      <c r="C29" s="31" t="str">
        <f>IFERROR(INDEX(Roadmap!$D$5:$D$20,MATCH(B29,Roadmap!$B$5:$B$20,0)),"")</f>
        <v>HTTP</v>
      </c>
      <c r="D29" s="31" t="s">
        <v>138</v>
      </c>
      <c r="E29" s="18" t="s">
        <v>208</v>
      </c>
      <c r="F29" s="23"/>
      <c r="G29" s="15"/>
    </row>
    <row r="30" spans="2:7" x14ac:dyDescent="0.35">
      <c r="B30" s="14">
        <v>5</v>
      </c>
      <c r="C30" s="31" t="str">
        <f>IFERROR(INDEX(Roadmap!$D$5:$D$20,MATCH(B30,Roadmap!$B$5:$B$20,0)),"")</f>
        <v>HTTP</v>
      </c>
      <c r="D30" s="31" t="s">
        <v>139</v>
      </c>
      <c r="E30" s="18" t="s">
        <v>208</v>
      </c>
      <c r="F30" s="23"/>
      <c r="G30" s="15"/>
    </row>
    <row r="31" spans="2:7" x14ac:dyDescent="0.35">
      <c r="B31" s="14">
        <v>5</v>
      </c>
      <c r="C31" s="31" t="str">
        <f>IFERROR(INDEX(Roadmap!$D$5:$D$20,MATCH(B31,Roadmap!$B$5:$B$20,0)),"")</f>
        <v>HTTP</v>
      </c>
      <c r="D31" s="31" t="s">
        <v>140</v>
      </c>
      <c r="E31" s="18" t="s">
        <v>209</v>
      </c>
      <c r="F31" s="23"/>
      <c r="G31" s="15"/>
    </row>
    <row r="32" spans="2:7" x14ac:dyDescent="0.35">
      <c r="B32" s="14">
        <v>5</v>
      </c>
      <c r="C32" s="31" t="str">
        <f>IFERROR(INDEX(Roadmap!$D$5:$D$20,MATCH(B32,Roadmap!$B$5:$B$20,0)),"")</f>
        <v>HTTP</v>
      </c>
      <c r="D32" s="31" t="s">
        <v>141</v>
      </c>
      <c r="E32" s="18" t="s">
        <v>114</v>
      </c>
      <c r="F32" s="23"/>
      <c r="G32" s="15"/>
    </row>
    <row r="33" spans="2:7" x14ac:dyDescent="0.35">
      <c r="B33" s="14">
        <v>5</v>
      </c>
      <c r="C33" s="31" t="str">
        <f>IFERROR(INDEX(Roadmap!$D$5:$D$20,MATCH(B33,Roadmap!$B$5:$B$20,0)),"")</f>
        <v>HTTP</v>
      </c>
      <c r="D33" s="31" t="s">
        <v>142</v>
      </c>
      <c r="E33" s="18" t="s">
        <v>114</v>
      </c>
      <c r="F33" s="23"/>
      <c r="G33" s="15"/>
    </row>
    <row r="34" spans="2:7" x14ac:dyDescent="0.35">
      <c r="B34" s="14">
        <v>6</v>
      </c>
      <c r="C34" s="31" t="str">
        <f>IFERROR(INDEX(Roadmap!$D$5:$D$20,MATCH(B34,Roadmap!$B$5:$B$20,0)),"")</f>
        <v>FastAPI</v>
      </c>
      <c r="D34" s="31" t="s">
        <v>143</v>
      </c>
      <c r="E34" s="18" t="s">
        <v>208</v>
      </c>
      <c r="F34" s="23"/>
      <c r="G34" s="15"/>
    </row>
    <row r="35" spans="2:7" x14ac:dyDescent="0.35">
      <c r="B35" s="14">
        <v>6</v>
      </c>
      <c r="C35" s="31" t="str">
        <f>IFERROR(INDEX(Roadmap!$D$5:$D$20,MATCH(B35,Roadmap!$B$5:$B$20,0)),"")</f>
        <v>FastAPI</v>
      </c>
      <c r="D35" s="31" t="s">
        <v>144</v>
      </c>
      <c r="E35" s="18" t="s">
        <v>114</v>
      </c>
      <c r="F35" s="23"/>
      <c r="G35" s="15"/>
    </row>
    <row r="36" spans="2:7" x14ac:dyDescent="0.35">
      <c r="B36" s="14">
        <v>6</v>
      </c>
      <c r="C36" s="31" t="str">
        <f>IFERROR(INDEX(Roadmap!$D$5:$D$20,MATCH(B36,Roadmap!$B$5:$B$20,0)),"")</f>
        <v>FastAPI</v>
      </c>
      <c r="D36" s="31" t="s">
        <v>145</v>
      </c>
      <c r="E36" s="18" t="s">
        <v>208</v>
      </c>
      <c r="F36" s="23"/>
      <c r="G36" s="15"/>
    </row>
    <row r="37" spans="2:7" x14ac:dyDescent="0.35">
      <c r="B37" s="14">
        <v>6</v>
      </c>
      <c r="C37" s="31" t="str">
        <f>IFERROR(INDEX(Roadmap!$D$5:$D$20,MATCH(B37,Roadmap!$B$5:$B$20,0)),"")</f>
        <v>FastAPI</v>
      </c>
      <c r="D37" s="31" t="s">
        <v>146</v>
      </c>
      <c r="E37" s="18" t="s">
        <v>114</v>
      </c>
      <c r="F37" s="23"/>
      <c r="G37" s="15"/>
    </row>
    <row r="38" spans="2:7" x14ac:dyDescent="0.35">
      <c r="B38" s="14">
        <v>6</v>
      </c>
      <c r="C38" s="31" t="str">
        <f>IFERROR(INDEX(Roadmap!$D$5:$D$20,MATCH(B38,Roadmap!$B$5:$B$20,0)),"")</f>
        <v>FastAPI</v>
      </c>
      <c r="D38" s="31" t="s">
        <v>147</v>
      </c>
      <c r="E38" s="18" t="s">
        <v>114</v>
      </c>
      <c r="F38" s="23"/>
      <c r="G38" s="15"/>
    </row>
    <row r="39" spans="2:7" x14ac:dyDescent="0.35">
      <c r="B39" s="14">
        <v>6</v>
      </c>
      <c r="C39" s="31" t="str">
        <f>IFERROR(INDEX(Roadmap!$D$5:$D$20,MATCH(B39,Roadmap!$B$5:$B$20,0)),"")</f>
        <v>FastAPI</v>
      </c>
      <c r="D39" s="31" t="s">
        <v>148</v>
      </c>
      <c r="E39" s="18" t="s">
        <v>114</v>
      </c>
      <c r="F39" s="23"/>
      <c r="G39" s="15"/>
    </row>
    <row r="40" spans="2:7" x14ac:dyDescent="0.35">
      <c r="B40" s="14">
        <v>6</v>
      </c>
      <c r="C40" s="31" t="str">
        <f>IFERROR(INDEX(Roadmap!$D$5:$D$20,MATCH(B40,Roadmap!$B$5:$B$20,0)),"")</f>
        <v>FastAPI</v>
      </c>
      <c r="D40" s="31" t="s">
        <v>149</v>
      </c>
      <c r="E40" s="18" t="s">
        <v>114</v>
      </c>
      <c r="F40" s="23"/>
      <c r="G40" s="15"/>
    </row>
    <row r="41" spans="2:7" x14ac:dyDescent="0.35">
      <c r="B41" s="14">
        <v>6</v>
      </c>
      <c r="C41" s="31" t="str">
        <f>IFERROR(INDEX(Roadmap!$D$5:$D$20,MATCH(B41,Roadmap!$B$5:$B$20,0)),"")</f>
        <v>FastAPI</v>
      </c>
      <c r="D41" s="31" t="s">
        <v>150</v>
      </c>
      <c r="E41" s="18" t="s">
        <v>114</v>
      </c>
      <c r="F41" s="23"/>
      <c r="G41" s="15"/>
    </row>
    <row r="42" spans="2:7" x14ac:dyDescent="0.35">
      <c r="B42" s="14">
        <v>7</v>
      </c>
      <c r="C42" s="31" t="str">
        <f>IFERROR(INDEX(Roadmap!$D$5:$D$20,MATCH(B42,Roadmap!$B$5:$B$20,0)),"")</f>
        <v>Pydantic</v>
      </c>
      <c r="D42" s="31" t="s">
        <v>151</v>
      </c>
      <c r="E42" s="18" t="s">
        <v>114</v>
      </c>
      <c r="F42" s="23"/>
      <c r="G42" s="15"/>
    </row>
    <row r="43" spans="2:7" x14ac:dyDescent="0.35">
      <c r="B43" s="14">
        <v>7</v>
      </c>
      <c r="C43" s="31" t="str">
        <f>IFERROR(INDEX(Roadmap!$D$5:$D$20,MATCH(B43,Roadmap!$B$5:$B$20,0)),"")</f>
        <v>Pydantic</v>
      </c>
      <c r="D43" s="31" t="s">
        <v>152</v>
      </c>
      <c r="E43" s="18" t="s">
        <v>114</v>
      </c>
      <c r="F43" s="23"/>
      <c r="G43" s="15"/>
    </row>
    <row r="44" spans="2:7" x14ac:dyDescent="0.35">
      <c r="B44" s="14">
        <v>7</v>
      </c>
      <c r="C44" s="31" t="str">
        <f>IFERROR(INDEX(Roadmap!$D$5:$D$20,MATCH(B44,Roadmap!$B$5:$B$20,0)),"")</f>
        <v>Pydantic</v>
      </c>
      <c r="D44" s="31" t="s">
        <v>153</v>
      </c>
      <c r="E44" s="18" t="s">
        <v>114</v>
      </c>
      <c r="F44" s="23"/>
      <c r="G44" s="15"/>
    </row>
    <row r="45" spans="2:7" x14ac:dyDescent="0.35">
      <c r="B45" s="14">
        <v>7</v>
      </c>
      <c r="C45" s="31" t="str">
        <f>IFERROR(INDEX(Roadmap!$D$5:$D$20,MATCH(B45,Roadmap!$B$5:$B$20,0)),"")</f>
        <v>Pydantic</v>
      </c>
      <c r="D45" s="31" t="s">
        <v>154</v>
      </c>
      <c r="E45" s="18" t="s">
        <v>114</v>
      </c>
      <c r="F45" s="23"/>
      <c r="G45" s="15"/>
    </row>
    <row r="46" spans="2:7" x14ac:dyDescent="0.35">
      <c r="B46" s="14">
        <v>7</v>
      </c>
      <c r="C46" s="31" t="str">
        <f>IFERROR(INDEX(Roadmap!$D$5:$D$20,MATCH(B46,Roadmap!$B$5:$B$20,0)),"")</f>
        <v>Pydantic</v>
      </c>
      <c r="D46" s="31" t="s">
        <v>155</v>
      </c>
      <c r="E46" s="18" t="s">
        <v>114</v>
      </c>
      <c r="F46" s="23"/>
      <c r="G46" s="15"/>
    </row>
    <row r="47" spans="2:7" x14ac:dyDescent="0.35">
      <c r="B47" s="14">
        <v>8</v>
      </c>
      <c r="C47" s="31" t="str">
        <f>IFERROR(INDEX(Roadmap!$D$5:$D$20,MATCH(B47,Roadmap!$B$5:$B$20,0)),"")</f>
        <v>ORM</v>
      </c>
      <c r="D47" s="31" t="s">
        <v>156</v>
      </c>
      <c r="E47" s="18" t="s">
        <v>114</v>
      </c>
      <c r="F47" s="23"/>
      <c r="G47" s="15"/>
    </row>
    <row r="48" spans="2:7" x14ac:dyDescent="0.35">
      <c r="B48" s="14">
        <v>8</v>
      </c>
      <c r="C48" s="31" t="str">
        <f>IFERROR(INDEX(Roadmap!$D$5:$D$20,MATCH(B48,Roadmap!$B$5:$B$20,0)),"")</f>
        <v>ORM</v>
      </c>
      <c r="D48" s="31" t="s">
        <v>157</v>
      </c>
      <c r="E48" s="18" t="s">
        <v>114</v>
      </c>
      <c r="F48" s="23"/>
      <c r="G48" s="15"/>
    </row>
    <row r="49" spans="2:7" x14ac:dyDescent="0.35">
      <c r="B49" s="14">
        <v>8</v>
      </c>
      <c r="C49" s="31" t="str">
        <f>IFERROR(INDEX(Roadmap!$D$5:$D$20,MATCH(B49,Roadmap!$B$5:$B$20,0)),"")</f>
        <v>ORM</v>
      </c>
      <c r="D49" s="31" t="s">
        <v>158</v>
      </c>
      <c r="E49" s="18" t="s">
        <v>114</v>
      </c>
      <c r="F49" s="23"/>
      <c r="G49" s="15"/>
    </row>
    <row r="50" spans="2:7" x14ac:dyDescent="0.35">
      <c r="B50" s="14">
        <v>8</v>
      </c>
      <c r="C50" s="31" t="str">
        <f>IFERROR(INDEX(Roadmap!$D$5:$D$20,MATCH(B50,Roadmap!$B$5:$B$20,0)),"")</f>
        <v>ORM</v>
      </c>
      <c r="D50" s="31" t="s">
        <v>159</v>
      </c>
      <c r="E50" s="18" t="s">
        <v>114</v>
      </c>
      <c r="F50" s="23"/>
      <c r="G50" s="15"/>
    </row>
    <row r="51" spans="2:7" x14ac:dyDescent="0.35">
      <c r="B51" s="14">
        <v>8</v>
      </c>
      <c r="C51" s="31" t="str">
        <f>IFERROR(INDEX(Roadmap!$D$5:$D$20,MATCH(B51,Roadmap!$B$5:$B$20,0)),"")</f>
        <v>ORM</v>
      </c>
      <c r="D51" s="31" t="s">
        <v>160</v>
      </c>
      <c r="E51" s="18" t="s">
        <v>114</v>
      </c>
      <c r="F51" s="23"/>
      <c r="G51" s="15"/>
    </row>
    <row r="52" spans="2:7" x14ac:dyDescent="0.35">
      <c r="B52" s="14">
        <v>8</v>
      </c>
      <c r="C52" s="31" t="str">
        <f>IFERROR(INDEX(Roadmap!$D$5:$D$20,MATCH(B52,Roadmap!$B$5:$B$20,0)),"")</f>
        <v>ORM</v>
      </c>
      <c r="D52" s="31" t="s">
        <v>161</v>
      </c>
      <c r="E52" s="18" t="s">
        <v>114</v>
      </c>
      <c r="F52" s="23"/>
      <c r="G52" s="15"/>
    </row>
    <row r="53" spans="2:7" x14ac:dyDescent="0.35">
      <c r="B53" s="14">
        <v>9</v>
      </c>
      <c r="C53" s="31" t="str">
        <f>IFERROR(INDEX(Roadmap!$D$5:$D$20,MATCH(B53,Roadmap!$B$5:$B$20,0)),"")</f>
        <v>PostgreSQL &amp; Migrations</v>
      </c>
      <c r="D53" s="31" t="s">
        <v>162</v>
      </c>
      <c r="E53" s="18" t="s">
        <v>114</v>
      </c>
      <c r="F53" s="23"/>
      <c r="G53" s="15"/>
    </row>
    <row r="54" spans="2:7" x14ac:dyDescent="0.35">
      <c r="B54" s="14">
        <v>9</v>
      </c>
      <c r="C54" s="31" t="str">
        <f>IFERROR(INDEX(Roadmap!$D$5:$D$20,MATCH(B54,Roadmap!$B$5:$B$20,0)),"")</f>
        <v>PostgreSQL &amp; Migrations</v>
      </c>
      <c r="D54" s="31" t="s">
        <v>163</v>
      </c>
      <c r="E54" s="18" t="s">
        <v>114</v>
      </c>
      <c r="F54" s="23"/>
      <c r="G54" s="15"/>
    </row>
    <row r="55" spans="2:7" x14ac:dyDescent="0.35">
      <c r="B55" s="14">
        <v>9</v>
      </c>
      <c r="C55" s="31" t="str">
        <f>IFERROR(INDEX(Roadmap!$D$5:$D$20,MATCH(B55,Roadmap!$B$5:$B$20,0)),"")</f>
        <v>PostgreSQL &amp; Migrations</v>
      </c>
      <c r="D55" s="31" t="s">
        <v>164</v>
      </c>
      <c r="E55" s="18" t="s">
        <v>114</v>
      </c>
      <c r="F55" s="23"/>
      <c r="G55" s="15"/>
    </row>
    <row r="56" spans="2:7" x14ac:dyDescent="0.35">
      <c r="B56" s="14">
        <v>9</v>
      </c>
      <c r="C56" s="31" t="str">
        <f>IFERROR(INDEX(Roadmap!$D$5:$D$20,MATCH(B56,Roadmap!$B$5:$B$20,0)),"")</f>
        <v>PostgreSQL &amp; Migrations</v>
      </c>
      <c r="D56" s="31" t="s">
        <v>165</v>
      </c>
      <c r="E56" s="18" t="s">
        <v>114</v>
      </c>
      <c r="F56" s="23"/>
      <c r="G56" s="15"/>
    </row>
    <row r="57" spans="2:7" x14ac:dyDescent="0.35">
      <c r="B57" s="14">
        <v>9</v>
      </c>
      <c r="C57" s="31" t="str">
        <f>IFERROR(INDEX(Roadmap!$D$5:$D$20,MATCH(B57,Roadmap!$B$5:$B$20,0)),"")</f>
        <v>PostgreSQL &amp; Migrations</v>
      </c>
      <c r="D57" s="31" t="s">
        <v>166</v>
      </c>
      <c r="E57" s="18" t="s">
        <v>114</v>
      </c>
      <c r="F57" s="23"/>
      <c r="G57" s="15"/>
    </row>
    <row r="58" spans="2:7" x14ac:dyDescent="0.35">
      <c r="B58" s="14">
        <v>10</v>
      </c>
      <c r="C58" s="31" t="str">
        <f>IFERROR(INDEX(Roadmap!$D$5:$D$20,MATCH(B58,Roadmap!$B$5:$B$20,0)),"")</f>
        <v>Authentication</v>
      </c>
      <c r="D58" s="31" t="s">
        <v>167</v>
      </c>
      <c r="E58" s="18" t="s">
        <v>114</v>
      </c>
      <c r="F58" s="23"/>
      <c r="G58" s="15"/>
    </row>
    <row r="59" spans="2:7" x14ac:dyDescent="0.35">
      <c r="B59" s="14">
        <v>10</v>
      </c>
      <c r="C59" s="31" t="str">
        <f>IFERROR(INDEX(Roadmap!$D$5:$D$20,MATCH(B59,Roadmap!$B$5:$B$20,0)),"")</f>
        <v>Authentication</v>
      </c>
      <c r="D59" s="31" t="s">
        <v>168</v>
      </c>
      <c r="E59" s="18" t="s">
        <v>114</v>
      </c>
      <c r="F59" s="23"/>
      <c r="G59" s="15"/>
    </row>
    <row r="60" spans="2:7" x14ac:dyDescent="0.35">
      <c r="B60" s="14">
        <v>10</v>
      </c>
      <c r="C60" s="31" t="str">
        <f>IFERROR(INDEX(Roadmap!$D$5:$D$20,MATCH(B60,Roadmap!$B$5:$B$20,0)),"")</f>
        <v>Authentication</v>
      </c>
      <c r="D60" s="31" t="s">
        <v>169</v>
      </c>
      <c r="E60" s="18" t="s">
        <v>114</v>
      </c>
      <c r="F60" s="23"/>
      <c r="G60" s="15"/>
    </row>
    <row r="61" spans="2:7" x14ac:dyDescent="0.35">
      <c r="B61" s="14">
        <v>10</v>
      </c>
      <c r="C61" s="31" t="str">
        <f>IFERROR(INDEX(Roadmap!$D$5:$D$20,MATCH(B61,Roadmap!$B$5:$B$20,0)),"")</f>
        <v>Authentication</v>
      </c>
      <c r="D61" s="31" t="s">
        <v>170</v>
      </c>
      <c r="E61" s="18" t="s">
        <v>114</v>
      </c>
      <c r="F61" s="23"/>
      <c r="G61" s="15"/>
    </row>
    <row r="62" spans="2:7" x14ac:dyDescent="0.35">
      <c r="B62" s="14">
        <v>10</v>
      </c>
      <c r="C62" s="31" t="str">
        <f>IFERROR(INDEX(Roadmap!$D$5:$D$20,MATCH(B62,Roadmap!$B$5:$B$20,0)),"")</f>
        <v>Authentication</v>
      </c>
      <c r="D62" s="31" t="s">
        <v>171</v>
      </c>
      <c r="E62" s="18" t="s">
        <v>114</v>
      </c>
      <c r="F62" s="23"/>
      <c r="G62" s="15"/>
    </row>
    <row r="63" spans="2:7" x14ac:dyDescent="0.35">
      <c r="B63" s="14">
        <v>10</v>
      </c>
      <c r="C63" s="31" t="str">
        <f>IFERROR(INDEX(Roadmap!$D$5:$D$20,MATCH(B63,Roadmap!$B$5:$B$20,0)),"")</f>
        <v>Authentication</v>
      </c>
      <c r="D63" s="31" t="s">
        <v>172</v>
      </c>
      <c r="E63" s="18" t="s">
        <v>114</v>
      </c>
      <c r="F63" s="23"/>
      <c r="G63" s="15"/>
    </row>
    <row r="64" spans="2:7" x14ac:dyDescent="0.35">
      <c r="B64" s="14">
        <v>10</v>
      </c>
      <c r="C64" s="31" t="str">
        <f>IFERROR(INDEX(Roadmap!$D$5:$D$20,MATCH(B64,Roadmap!$B$5:$B$20,0)),"")</f>
        <v>Authentication</v>
      </c>
      <c r="D64" s="31" t="s">
        <v>173</v>
      </c>
      <c r="E64" s="18" t="s">
        <v>114</v>
      </c>
      <c r="F64" s="23"/>
      <c r="G64" s="15"/>
    </row>
    <row r="65" spans="2:7" x14ac:dyDescent="0.35">
      <c r="B65" s="14">
        <v>11</v>
      </c>
      <c r="C65" s="31" t="str">
        <f>IFERROR(INDEX(Roadmap!$D$5:$D$20,MATCH(B65,Roadmap!$B$5:$B$20,0)),"")</f>
        <v>Testing</v>
      </c>
      <c r="D65" s="31" t="s">
        <v>174</v>
      </c>
      <c r="E65" s="18" t="s">
        <v>114</v>
      </c>
      <c r="F65" s="23"/>
      <c r="G65" s="15"/>
    </row>
    <row r="66" spans="2:7" x14ac:dyDescent="0.35">
      <c r="B66" s="14">
        <v>11</v>
      </c>
      <c r="C66" s="31" t="str">
        <f>IFERROR(INDEX(Roadmap!$D$5:$D$20,MATCH(B66,Roadmap!$B$5:$B$20,0)),"")</f>
        <v>Testing</v>
      </c>
      <c r="D66" s="31" t="s">
        <v>175</v>
      </c>
      <c r="E66" s="18" t="s">
        <v>114</v>
      </c>
      <c r="F66" s="23"/>
      <c r="G66" s="15"/>
    </row>
    <row r="67" spans="2:7" x14ac:dyDescent="0.35">
      <c r="B67" s="14">
        <v>11</v>
      </c>
      <c r="C67" s="31" t="str">
        <f>IFERROR(INDEX(Roadmap!$D$5:$D$20,MATCH(B67,Roadmap!$B$5:$B$20,0)),"")</f>
        <v>Testing</v>
      </c>
      <c r="D67" s="31" t="s">
        <v>176</v>
      </c>
      <c r="E67" s="18" t="s">
        <v>114</v>
      </c>
      <c r="F67" s="23"/>
      <c r="G67" s="15"/>
    </row>
    <row r="68" spans="2:7" x14ac:dyDescent="0.35">
      <c r="B68" s="14">
        <v>11</v>
      </c>
      <c r="C68" s="31" t="str">
        <f>IFERROR(INDEX(Roadmap!$D$5:$D$20,MATCH(B68,Roadmap!$B$5:$B$20,0)),"")</f>
        <v>Testing</v>
      </c>
      <c r="D68" s="31" t="s">
        <v>177</v>
      </c>
      <c r="E68" s="18" t="s">
        <v>114</v>
      </c>
      <c r="F68" s="23"/>
      <c r="G68" s="15"/>
    </row>
    <row r="69" spans="2:7" x14ac:dyDescent="0.35">
      <c r="B69" s="14">
        <v>11</v>
      </c>
      <c r="C69" s="31" t="str">
        <f>IFERROR(INDEX(Roadmap!$D$5:$D$20,MATCH(B69,Roadmap!$B$5:$B$20,0)),"")</f>
        <v>Testing</v>
      </c>
      <c r="D69" s="31" t="s">
        <v>178</v>
      </c>
      <c r="E69" s="18" t="s">
        <v>114</v>
      </c>
      <c r="F69" s="23"/>
      <c r="G69" s="15"/>
    </row>
    <row r="70" spans="2:7" x14ac:dyDescent="0.35">
      <c r="B70" s="14">
        <v>11</v>
      </c>
      <c r="C70" s="31" t="str">
        <f>IFERROR(INDEX(Roadmap!$D$5:$D$20,MATCH(B70,Roadmap!$B$5:$B$20,0)),"")</f>
        <v>Testing</v>
      </c>
      <c r="D70" s="31" t="s">
        <v>179</v>
      </c>
      <c r="E70" s="18" t="s">
        <v>114</v>
      </c>
      <c r="F70" s="23"/>
      <c r="G70" s="15"/>
    </row>
    <row r="71" spans="2:7" ht="36" x14ac:dyDescent="0.35">
      <c r="B71" s="14">
        <v>12</v>
      </c>
      <c r="C71" s="31" t="str">
        <f>IFERROR(INDEX(Roadmap!$D$5:$D$20,MATCH(B71,Roadmap!$B$5:$B$20,0)),"")</f>
        <v>API Design, Logging &amp; Security</v>
      </c>
      <c r="D71" s="31" t="s">
        <v>180</v>
      </c>
      <c r="E71" s="18" t="s">
        <v>114</v>
      </c>
      <c r="F71" s="23"/>
      <c r="G71" s="15"/>
    </row>
    <row r="72" spans="2:7" ht="36" x14ac:dyDescent="0.35">
      <c r="B72" s="14">
        <v>12</v>
      </c>
      <c r="C72" s="31" t="str">
        <f>IFERROR(INDEX(Roadmap!$D$5:$D$20,MATCH(B72,Roadmap!$B$5:$B$20,0)),"")</f>
        <v>API Design, Logging &amp; Security</v>
      </c>
      <c r="D72" s="31" t="s">
        <v>181</v>
      </c>
      <c r="E72" s="18" t="s">
        <v>114</v>
      </c>
      <c r="F72" s="23"/>
      <c r="G72" s="15"/>
    </row>
    <row r="73" spans="2:7" ht="36" x14ac:dyDescent="0.35">
      <c r="B73" s="14">
        <v>12</v>
      </c>
      <c r="C73" s="31" t="str">
        <f>IFERROR(INDEX(Roadmap!$D$5:$D$20,MATCH(B73,Roadmap!$B$5:$B$20,0)),"")</f>
        <v>API Design, Logging &amp; Security</v>
      </c>
      <c r="D73" s="31" t="s">
        <v>182</v>
      </c>
      <c r="E73" s="18" t="s">
        <v>114</v>
      </c>
      <c r="F73" s="23"/>
      <c r="G73" s="15"/>
    </row>
    <row r="74" spans="2:7" ht="36" x14ac:dyDescent="0.35">
      <c r="B74" s="14">
        <v>12</v>
      </c>
      <c r="C74" s="31" t="str">
        <f>IFERROR(INDEX(Roadmap!$D$5:$D$20,MATCH(B74,Roadmap!$B$5:$B$20,0)),"")</f>
        <v>API Design, Logging &amp; Security</v>
      </c>
      <c r="D74" s="31" t="s">
        <v>183</v>
      </c>
      <c r="E74" s="18" t="s">
        <v>114</v>
      </c>
      <c r="F74" s="23"/>
      <c r="G74" s="15"/>
    </row>
    <row r="75" spans="2:7" ht="36" x14ac:dyDescent="0.35">
      <c r="B75" s="14">
        <v>12</v>
      </c>
      <c r="C75" s="31" t="str">
        <f>IFERROR(INDEX(Roadmap!$D$5:$D$20,MATCH(B75,Roadmap!$B$5:$B$20,0)),"")</f>
        <v>API Design, Logging &amp; Security</v>
      </c>
      <c r="D75" s="31" t="s">
        <v>184</v>
      </c>
      <c r="E75" s="18" t="s">
        <v>114</v>
      </c>
      <c r="F75" s="23"/>
      <c r="G75" s="15"/>
    </row>
    <row r="76" spans="2:7" ht="36" x14ac:dyDescent="0.35">
      <c r="B76" s="14">
        <v>12</v>
      </c>
      <c r="C76" s="31" t="str">
        <f>IFERROR(INDEX(Roadmap!$D$5:$D$20,MATCH(B76,Roadmap!$B$5:$B$20,0)),"")</f>
        <v>API Design, Logging &amp; Security</v>
      </c>
      <c r="D76" s="31" t="s">
        <v>185</v>
      </c>
      <c r="E76" s="18" t="s">
        <v>114</v>
      </c>
      <c r="F76" s="23"/>
      <c r="G76" s="15"/>
    </row>
    <row r="77" spans="2:7" ht="36" x14ac:dyDescent="0.35">
      <c r="B77" s="14">
        <v>13</v>
      </c>
      <c r="C77" s="31" t="str">
        <f>IFERROR(INDEX(Roadmap!$D$5:$D$20,MATCH(B77,Roadmap!$B$5:$B$20,0)),"")</f>
        <v>Caching &amp; Background Tasks</v>
      </c>
      <c r="D77" s="31" t="s">
        <v>186</v>
      </c>
      <c r="E77" s="18" t="s">
        <v>114</v>
      </c>
      <c r="F77" s="23"/>
      <c r="G77" s="15"/>
    </row>
    <row r="78" spans="2:7" ht="36" x14ac:dyDescent="0.35">
      <c r="B78" s="14">
        <v>13</v>
      </c>
      <c r="C78" s="31" t="str">
        <f>IFERROR(INDEX(Roadmap!$D$5:$D$20,MATCH(B78,Roadmap!$B$5:$B$20,0)),"")</f>
        <v>Caching &amp; Background Tasks</v>
      </c>
      <c r="D78" s="31" t="s">
        <v>187</v>
      </c>
      <c r="E78" s="18" t="s">
        <v>114</v>
      </c>
      <c r="F78" s="23"/>
      <c r="G78" s="15"/>
    </row>
    <row r="79" spans="2:7" ht="36" x14ac:dyDescent="0.35">
      <c r="B79" s="14">
        <v>13</v>
      </c>
      <c r="C79" s="31" t="str">
        <f>IFERROR(INDEX(Roadmap!$D$5:$D$20,MATCH(B79,Roadmap!$B$5:$B$20,0)),"")</f>
        <v>Caching &amp; Background Tasks</v>
      </c>
      <c r="D79" s="31" t="s">
        <v>188</v>
      </c>
      <c r="E79" s="18" t="s">
        <v>114</v>
      </c>
      <c r="F79" s="23"/>
      <c r="G79" s="15"/>
    </row>
    <row r="80" spans="2:7" ht="36" x14ac:dyDescent="0.35">
      <c r="B80" s="14">
        <v>13</v>
      </c>
      <c r="C80" s="31" t="str">
        <f>IFERROR(INDEX(Roadmap!$D$5:$D$20,MATCH(B80,Roadmap!$B$5:$B$20,0)),"")</f>
        <v>Caching &amp; Background Tasks</v>
      </c>
      <c r="D80" s="31" t="s">
        <v>189</v>
      </c>
      <c r="E80" s="18" t="s">
        <v>114</v>
      </c>
      <c r="F80" s="23"/>
      <c r="G80" s="15"/>
    </row>
    <row r="81" spans="2:7" ht="36" x14ac:dyDescent="0.35">
      <c r="B81" s="14">
        <v>13</v>
      </c>
      <c r="C81" s="31" t="str">
        <f>IFERROR(INDEX(Roadmap!$D$5:$D$20,MATCH(B81,Roadmap!$B$5:$B$20,0)),"")</f>
        <v>Caching &amp; Background Tasks</v>
      </c>
      <c r="D81" s="31" t="s">
        <v>190</v>
      </c>
      <c r="E81" s="18" t="s">
        <v>114</v>
      </c>
      <c r="F81" s="23"/>
      <c r="G81" s="15"/>
    </row>
    <row r="82" spans="2:7" x14ac:dyDescent="0.35">
      <c r="B82" s="14">
        <v>14</v>
      </c>
      <c r="C82" s="31" t="str">
        <f>IFERROR(INDEX(Roadmap!$D$5:$D$20,MATCH(B82,Roadmap!$B$5:$B$20,0)),"")</f>
        <v>Deployment</v>
      </c>
      <c r="D82" s="31" t="s">
        <v>191</v>
      </c>
      <c r="E82" s="18" t="s">
        <v>114</v>
      </c>
      <c r="F82" s="23"/>
      <c r="G82" s="15"/>
    </row>
    <row r="83" spans="2:7" x14ac:dyDescent="0.35">
      <c r="B83" s="14">
        <v>14</v>
      </c>
      <c r="C83" s="31" t="str">
        <f>IFERROR(INDEX(Roadmap!$D$5:$D$20,MATCH(B83,Roadmap!$B$5:$B$20,0)),"")</f>
        <v>Deployment</v>
      </c>
      <c r="D83" s="31" t="s">
        <v>192</v>
      </c>
      <c r="E83" s="18" t="s">
        <v>114</v>
      </c>
      <c r="F83" s="23"/>
      <c r="G83" s="15"/>
    </row>
    <row r="84" spans="2:7" x14ac:dyDescent="0.35">
      <c r="B84" s="14">
        <v>14</v>
      </c>
      <c r="C84" s="31" t="str">
        <f>IFERROR(INDEX(Roadmap!$D$5:$D$20,MATCH(B84,Roadmap!$B$5:$B$20,0)),"")</f>
        <v>Deployment</v>
      </c>
      <c r="D84" s="31" t="s">
        <v>193</v>
      </c>
      <c r="E84" s="18" t="s">
        <v>114</v>
      </c>
      <c r="F84" s="23"/>
      <c r="G84" s="15"/>
    </row>
    <row r="85" spans="2:7" x14ac:dyDescent="0.35">
      <c r="B85" s="14">
        <v>14</v>
      </c>
      <c r="C85" s="31" t="str">
        <f>IFERROR(INDEX(Roadmap!$D$5:$D$20,MATCH(B85,Roadmap!$B$5:$B$20,0)),"")</f>
        <v>Deployment</v>
      </c>
      <c r="D85" s="31" t="s">
        <v>194</v>
      </c>
      <c r="E85" s="18" t="s">
        <v>114</v>
      </c>
      <c r="F85" s="23"/>
      <c r="G85" s="15"/>
    </row>
    <row r="86" spans="2:7" x14ac:dyDescent="0.35">
      <c r="B86" s="14">
        <v>14</v>
      </c>
      <c r="C86" s="31" t="str">
        <f>IFERROR(INDEX(Roadmap!$D$5:$D$20,MATCH(B86,Roadmap!$B$5:$B$20,0)),"")</f>
        <v>Deployment</v>
      </c>
      <c r="D86" s="31" t="s">
        <v>195</v>
      </c>
      <c r="E86" s="18" t="s">
        <v>114</v>
      </c>
      <c r="F86" s="23"/>
      <c r="G86" s="15"/>
    </row>
    <row r="87" spans="2:7" x14ac:dyDescent="0.35">
      <c r="B87" s="14">
        <v>14</v>
      </c>
      <c r="C87" s="31" t="str">
        <f>IFERROR(INDEX(Roadmap!$D$5:$D$20,MATCH(B87,Roadmap!$B$5:$B$20,0)),"")</f>
        <v>Deployment</v>
      </c>
      <c r="D87" s="31" t="s">
        <v>196</v>
      </c>
      <c r="E87" s="18" t="s">
        <v>114</v>
      </c>
      <c r="F87" s="23"/>
      <c r="G87" s="15"/>
    </row>
    <row r="88" spans="2:7" x14ac:dyDescent="0.35">
      <c r="B88" s="14">
        <v>15</v>
      </c>
      <c r="C88" s="31" t="str">
        <f>IFERROR(INDEX(Roadmap!$D$5:$D$20,MATCH(B88,Roadmap!$B$5:$B$20,0)),"")</f>
        <v>CI/CD</v>
      </c>
      <c r="D88" s="31" t="s">
        <v>197</v>
      </c>
      <c r="E88" s="18" t="s">
        <v>114</v>
      </c>
      <c r="F88" s="23"/>
      <c r="G88" s="15"/>
    </row>
    <row r="89" spans="2:7" x14ac:dyDescent="0.35">
      <c r="B89" s="14">
        <v>15</v>
      </c>
      <c r="C89" s="31" t="str">
        <f>IFERROR(INDEX(Roadmap!$D$5:$D$20,MATCH(B89,Roadmap!$B$5:$B$20,0)),"")</f>
        <v>CI/CD</v>
      </c>
      <c r="D89" s="31" t="s">
        <v>198</v>
      </c>
      <c r="E89" s="18" t="s">
        <v>114</v>
      </c>
      <c r="F89" s="23"/>
      <c r="G89" s="15"/>
    </row>
    <row r="90" spans="2:7" x14ac:dyDescent="0.35">
      <c r="B90" s="14">
        <v>15</v>
      </c>
      <c r="C90" s="31" t="str">
        <f>IFERROR(INDEX(Roadmap!$D$5:$D$20,MATCH(B90,Roadmap!$B$5:$B$20,0)),"")</f>
        <v>CI/CD</v>
      </c>
      <c r="D90" s="31" t="s">
        <v>199</v>
      </c>
      <c r="E90" s="18" t="s">
        <v>114</v>
      </c>
      <c r="F90" s="23"/>
      <c r="G90" s="15"/>
    </row>
    <row r="91" spans="2:7" x14ac:dyDescent="0.35">
      <c r="B91" s="14">
        <v>15</v>
      </c>
      <c r="C91" s="31" t="str">
        <f>IFERROR(INDEX(Roadmap!$D$5:$D$20,MATCH(B91,Roadmap!$B$5:$B$20,0)),"")</f>
        <v>CI/CD</v>
      </c>
      <c r="D91" s="31" t="s">
        <v>200</v>
      </c>
      <c r="E91" s="18" t="s">
        <v>114</v>
      </c>
      <c r="F91" s="23"/>
      <c r="G91" s="15"/>
    </row>
    <row r="92" spans="2:7" x14ac:dyDescent="0.35">
      <c r="B92" s="14">
        <v>16</v>
      </c>
      <c r="C92" s="31" t="str">
        <f>IFERROR(INDEX(Roadmap!$D$5:$D$20,MATCH(B92,Roadmap!$B$5:$B$20,0)),"")</f>
        <v>Capstone Project</v>
      </c>
      <c r="D92" s="31" t="s">
        <v>201</v>
      </c>
      <c r="E92" s="18" t="s">
        <v>114</v>
      </c>
      <c r="F92" s="23"/>
      <c r="G92" s="15"/>
    </row>
    <row r="93" spans="2:7" x14ac:dyDescent="0.35">
      <c r="B93" s="14">
        <v>16</v>
      </c>
      <c r="C93" s="31" t="str">
        <f>IFERROR(INDEX(Roadmap!$D$5:$D$20,MATCH(B93,Roadmap!$B$5:$B$20,0)),"")</f>
        <v>Capstone Project</v>
      </c>
      <c r="D93" s="31" t="s">
        <v>202</v>
      </c>
      <c r="E93" s="18" t="s">
        <v>114</v>
      </c>
      <c r="F93" s="23"/>
      <c r="G93" s="15"/>
    </row>
    <row r="94" spans="2:7" x14ac:dyDescent="0.35">
      <c r="B94" s="14">
        <v>16</v>
      </c>
      <c r="C94" s="31" t="str">
        <f>IFERROR(INDEX(Roadmap!$D$5:$D$20,MATCH(B94,Roadmap!$B$5:$B$20,0)),"")</f>
        <v>Capstone Project</v>
      </c>
      <c r="D94" s="31" t="s">
        <v>203</v>
      </c>
      <c r="E94" s="18" t="s">
        <v>114</v>
      </c>
      <c r="F94" s="23"/>
      <c r="G94" s="15"/>
    </row>
    <row r="95" spans="2:7" x14ac:dyDescent="0.35">
      <c r="B95" s="14">
        <v>16</v>
      </c>
      <c r="C95" s="31" t="str">
        <f>IFERROR(INDEX(Roadmap!$D$5:$D$20,MATCH(B95,Roadmap!$B$5:$B$20,0)),"")</f>
        <v>Capstone Project</v>
      </c>
      <c r="D95" s="31" t="s">
        <v>204</v>
      </c>
      <c r="E95" s="18" t="s">
        <v>114</v>
      </c>
      <c r="F95" s="23"/>
      <c r="G95" s="15"/>
    </row>
    <row r="96" spans="2:7" x14ac:dyDescent="0.35">
      <c r="B96" s="14">
        <v>16</v>
      </c>
      <c r="C96" s="31" t="str">
        <f>IFERROR(INDEX(Roadmap!$D$5:$D$20,MATCH(B96,Roadmap!$B$5:$B$20,0)),"")</f>
        <v>Capstone Project</v>
      </c>
      <c r="D96" s="31" t="s">
        <v>205</v>
      </c>
      <c r="E96" s="18" t="s">
        <v>114</v>
      </c>
      <c r="F96" s="23"/>
      <c r="G96" s="15"/>
    </row>
    <row r="97" spans="2:7" x14ac:dyDescent="0.35">
      <c r="B97" s="14">
        <v>16</v>
      </c>
      <c r="C97" s="31" t="str">
        <f>IFERROR(INDEX(Roadmap!$D$5:$D$20,MATCH(B97,Roadmap!$B$5:$B$20,0)),"")</f>
        <v>Capstone Project</v>
      </c>
      <c r="D97" s="31" t="s">
        <v>206</v>
      </c>
      <c r="E97" s="18" t="s">
        <v>114</v>
      </c>
      <c r="F97" s="23"/>
      <c r="G97" s="15"/>
    </row>
    <row r="98" spans="2:7" x14ac:dyDescent="0.35">
      <c r="B98" s="14">
        <v>16</v>
      </c>
      <c r="C98" s="31" t="str">
        <f>IFERROR(INDEX(Roadmap!$D$5:$D$20,MATCH(B98,Roadmap!$B$5:$B$20,0)),"")</f>
        <v>Capstone Project</v>
      </c>
      <c r="D98" s="31" t="s">
        <v>207</v>
      </c>
      <c r="E98" s="18" t="s">
        <v>114</v>
      </c>
      <c r="F98" s="23"/>
      <c r="G98" s="15"/>
    </row>
  </sheetData>
  <autoFilter ref="B4:G98" xr:uid="{00000000-0009-0000-0000-000002000000}"/>
  <mergeCells count="1">
    <mergeCell ref="B1:F2"/>
  </mergeCells>
  <conditionalFormatting sqref="B5:D300">
    <cfRule type="expression" dxfId="2" priority="7">
      <formula>$E5="Done"</formula>
    </cfRule>
  </conditionalFormatting>
  <conditionalFormatting sqref="E5:E300">
    <cfRule type="cellIs" dxfId="1" priority="2" operator="equal">
      <formula>"Done"</formula>
    </cfRule>
    <cfRule type="cellIs" dxfId="0" priority="3" operator="equal">
      <formula>"In Progress"</formula>
    </cfRule>
  </conditionalFormatting>
  <dataValidations count="2">
    <dataValidation type="list" allowBlank="1" sqref="E5:E300" xr:uid="{00000000-0002-0000-0200-000000000000}">
      <formula1>"Not Started,In Progress,Done"</formula1>
      <formula2>0</formula2>
    </dataValidation>
    <dataValidation type="whole" sqref="B5:B300" xr:uid="{00000000-0002-0000-0200-000001000000}">
      <formula1>1</formula1>
      <formula2>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Roadmap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Sohel Rana Bhuiyan</cp:lastModifiedBy>
  <cp:revision>0</cp:revision>
  <dcterms:created xsi:type="dcterms:W3CDTF">2026-10-08T11:20:42Z</dcterms:created>
  <dcterms:modified xsi:type="dcterms:W3CDTF">2026-10-10T20:07:11Z</dcterms:modified>
  <dc:language>en-US</dc:language>
</cp:coreProperties>
</file>